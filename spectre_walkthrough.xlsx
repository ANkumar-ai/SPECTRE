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adder" sheetId="2" state="visible" r:id="rId4"/>
    <sheet name="good" sheetId="3" state="visible" r:id="rId5"/>
    <sheet name="night" sheetId="4" state="visible" r:id="rId6"/>
    <sheet name="sweet" sheetId="5" state="visible" r:id="rId7"/>
    <sheet name="prince" sheetId="6" state="visible" r:id="rId8"/>
    <sheet name="Squeeze" sheetId="7" state="visible" r:id="rId9"/>
    <sheet name="Twist" sheetId="8" state="visible" r:id="rId10"/>
    <sheet name="Payoff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<sst xmlns="http://schemas.openxmlformats.org/spreadsheetml/2006/main" count="429" uniqueCount="252">
  <si>
    <t xml:space="preserve">SPECTRE walkthrough: "good night sweet prince"  (Hamlet, Act 5)</t>
  </si>
  <si>
    <t xml:space="preserve">Toy world, sized for hand-checking:</t>
  </si>
  <si>
    <t xml:space="preserve">  tokenizer: whitespace, no marker -&gt; 4 tokens: good(m=0) night(m=1) sweet(m=2) prince(m=3)</t>
  </si>
  <si>
    <t xml:space="preserve">  L_max = 10 code points (English)  -&gt;  omega floor = 180/10 = 18 deg</t>
  </si>
  <si>
    <t xml:space="preserve">  K = 3 lenses: 162 / 54 / 18 deg per step (ratio exactly 1/3)</t>
  </si>
  <si>
    <t xml:space="preserve">  d_model = 8  -&gt;  4 pairs  -&gt;  4 theta speeds: 162 / 66.59 / 27.37 / 11.25 (floor 180/16, max_slots=16)</t>
  </si>
  <si>
    <t xml:space="preserve">  English = 1 byte per character, so each letter owns ONE box; collisions come only from repeated letters.</t>
  </si>
  <si>
    <t xml:space="preserve">Pipeline, sheet by sheet:</t>
  </si>
  <si>
    <t xml:space="preserve">  Ladder      the only design inputs (blue). Everything else derives.</t>
  </si>
  <si>
    <t xml:space="preserve">  good/night/sweet/prince   per-token codec: angles -&gt; arrows -&gt; box sums -&gt; |arrow| -&gt; energy -&gt; NORM -&gt; normalized components</t>
  </si>
  <si>
    <t xml:space="preserve">  Squeeze     78 features x learned W(78x8, blue "random init") -&gt; 8-dim embedding per token</t>
  </si>
  <si>
    <t xml:space="preserve">  Twist       each embedding read as 4 arrows; arrow j rotated by theta_j x slot m</t>
  </si>
  <si>
    <t xml:space="preserve">  Payoff      dot products of the same token at slot gaps 3,3,1: the two gap-3 scores are IDENTICAL -&gt; attention sees only m-n</t>
  </si>
  <si>
    <t xml:space="preserve">Colors: blue = hardcoded inputs. black = formulas. yellow = collision boxes (repeated letters).</t>
  </si>
  <si>
    <t xml:space="preserve">Every number is a live formula except blue inputs; change Ladder inputs or W and all sheets re-derive.</t>
  </si>
  <si>
    <t xml:space="preserve">Design inputs (blue). Two ladders: omega (inside tokens), theta (across slots).</t>
  </si>
  <si>
    <t xml:space="preserve">w_max (x pi)</t>
  </si>
  <si>
    <t xml:space="preserve">L_max (longest token, cp)</t>
  </si>
  <si>
    <t xml:space="preserve">w_min (x pi) = 1/L_max</t>
  </si>
  <si>
    <t xml:space="preserve">K (lenses)</t>
  </si>
  <si>
    <t xml:space="preserve">r_omega</t>
  </si>
  <si>
    <t xml:space="preserve">max_slots (sequence)</t>
  </si>
  <si>
    <t xml:space="preserve">theta_min (x pi) = 1/max_slots</t>
  </si>
  <si>
    <t xml:space="preserve">pairs (d_model/2)</t>
  </si>
  <si>
    <t xml:space="preserve">r_theta</t>
  </si>
  <si>
    <t xml:space="preserve">omega ladder (deg/step)</t>
  </si>
  <si>
    <t xml:space="preserve">L0</t>
  </si>
  <si>
    <t xml:space="preserve">L1</t>
  </si>
  <si>
    <t xml:space="preserve">L2</t>
  </si>
  <si>
    <t xml:space="preserve">theta ladder (deg/slot)</t>
  </si>
  <si>
    <t xml:space="preserve">th0</t>
  </si>
  <si>
    <t xml:space="preserve">th1</t>
  </si>
  <si>
    <t xml:space="preserve">th2</t>
  </si>
  <si>
    <t xml:space="preserve">th3</t>
  </si>
  <si>
    <t xml:space="preserve">Token "good"  (slot m=0, 4 cp). Codec, every step.</t>
  </si>
  <si>
    <t xml:space="preserve">angle -&gt; Re/Im -&gt; box sums -&gt; |arrow| -&gt; energy -&gt; NORM -&gt; NORMALIZED components (these feed the Squeeze).</t>
  </si>
  <si>
    <t xml:space="preserve">ANGLES = -p x step</t>
  </si>
  <si>
    <t xml:space="preserve">Re = COS</t>
  </si>
  <si>
    <t xml:space="preserve">Im = SIN</t>
  </si>
  <si>
    <t xml:space="preserve">BOX SUMS</t>
  </si>
  <si>
    <t xml:space="preserve">|arrow|</t>
  </si>
  <si>
    <t xml:space="preserve">energy</t>
  </si>
  <si>
    <t xml:space="preserve">NORMALIZED components = (Re,Im)/NORM</t>
  </si>
  <si>
    <t xml:space="preserve">lens</t>
  </si>
  <si>
    <t xml:space="preserve">step</t>
  </si>
  <si>
    <t xml:space="preserve">g p=0</t>
  </si>
  <si>
    <t xml:space="preserve">o p=1</t>
  </si>
  <si>
    <t xml:space="preserve">o p=2</t>
  </si>
  <si>
    <t xml:space="preserve">d p=3</t>
  </si>
  <si>
    <t xml:space="preserve">d Re</t>
  </si>
  <si>
    <t xml:space="preserve">d Im</t>
  </si>
  <si>
    <t xml:space="preserve">g Re</t>
  </si>
  <si>
    <t xml:space="preserve">g Im</t>
  </si>
  <si>
    <t xml:space="preserve">o Re</t>
  </si>
  <si>
    <t xml:space="preserve">o Im</t>
  </si>
  <si>
    <t xml:space="preserve">d</t>
  </si>
  <si>
    <t xml:space="preserve">g</t>
  </si>
  <si>
    <t xml:space="preserve">o</t>
  </si>
  <si>
    <t xml:space="preserve">sum|a|^2</t>
  </si>
  <si>
    <t xml:space="preserve">p=3</t>
  </si>
  <si>
    <t xml:space="preserve">p=0</t>
  </si>
  <si>
    <t xml:space="preserve">p=1,2</t>
  </si>
  <si>
    <t xml:space="preserve">total energy</t>
  </si>
  <si>
    <t xml:space="preserve">NORM</t>
  </si>
  <si>
    <t xml:space="preserve">CHECK SUMSQ(norm comps)=1</t>
  </si>
  <si>
    <t xml:space="preserve">Token "night"  (slot m=1, 5 cp). Codec, every step.</t>
  </si>
  <si>
    <t xml:space="preserve">n p=0</t>
  </si>
  <si>
    <t xml:space="preserve">i p=1</t>
  </si>
  <si>
    <t xml:space="preserve">g p=2</t>
  </si>
  <si>
    <t xml:space="preserve">h p=3</t>
  </si>
  <si>
    <t xml:space="preserve">t p=4</t>
  </si>
  <si>
    <t xml:space="preserve">h Re</t>
  </si>
  <si>
    <t xml:space="preserve">h Im</t>
  </si>
  <si>
    <t xml:space="preserve">i Re</t>
  </si>
  <si>
    <t xml:space="preserve">i Im</t>
  </si>
  <si>
    <t xml:space="preserve">n Re</t>
  </si>
  <si>
    <t xml:space="preserve">n Im</t>
  </si>
  <si>
    <t xml:space="preserve">t Re</t>
  </si>
  <si>
    <t xml:space="preserve">t Im</t>
  </si>
  <si>
    <t xml:space="preserve">h</t>
  </si>
  <si>
    <t xml:space="preserve">i</t>
  </si>
  <si>
    <t xml:space="preserve">n</t>
  </si>
  <si>
    <t xml:space="preserve">t</t>
  </si>
  <si>
    <t xml:space="preserve">p=2</t>
  </si>
  <si>
    <t xml:space="preserve">p=1</t>
  </si>
  <si>
    <t xml:space="preserve">p=4</t>
  </si>
  <si>
    <t xml:space="preserve">Token "sweet"  (slot m=2, 5 cp). Codec, every step.</t>
  </si>
  <si>
    <t xml:space="preserve">s p=0</t>
  </si>
  <si>
    <t xml:space="preserve">w p=1</t>
  </si>
  <si>
    <t xml:space="preserve">e p=2</t>
  </si>
  <si>
    <t xml:space="preserve">e p=3</t>
  </si>
  <si>
    <t xml:space="preserve">e Re</t>
  </si>
  <si>
    <t xml:space="preserve">e Im</t>
  </si>
  <si>
    <t xml:space="preserve">s Re</t>
  </si>
  <si>
    <t xml:space="preserve">s Im</t>
  </si>
  <si>
    <t xml:space="preserve">w Re</t>
  </si>
  <si>
    <t xml:space="preserve">w Im</t>
  </si>
  <si>
    <t xml:space="preserve">e</t>
  </si>
  <si>
    <t xml:space="preserve">s</t>
  </si>
  <si>
    <t xml:space="preserve">w</t>
  </si>
  <si>
    <t xml:space="preserve">p=2,3</t>
  </si>
  <si>
    <t xml:space="preserve">Token "prince"  (slot m=3, 6 cp). Codec, every step.</t>
  </si>
  <si>
    <t xml:space="preserve">p p=0</t>
  </si>
  <si>
    <t xml:space="preserve">r p=1</t>
  </si>
  <si>
    <t xml:space="preserve">i p=2</t>
  </si>
  <si>
    <t xml:space="preserve">n p=3</t>
  </si>
  <si>
    <t xml:space="preserve">c p=4</t>
  </si>
  <si>
    <t xml:space="preserve">e p=5</t>
  </si>
  <si>
    <t xml:space="preserve">c Re</t>
  </si>
  <si>
    <t xml:space="preserve">c Im</t>
  </si>
  <si>
    <t xml:space="preserve">p Re</t>
  </si>
  <si>
    <t xml:space="preserve">p Im</t>
  </si>
  <si>
    <t xml:space="preserve">r Re</t>
  </si>
  <si>
    <t xml:space="preserve">r Im</t>
  </si>
  <si>
    <t xml:space="preserve">c</t>
  </si>
  <si>
    <t xml:space="preserve">p</t>
  </si>
  <si>
    <t xml:space="preserve">r</t>
  </si>
  <si>
    <t xml:space="preserve">p=5</t>
  </si>
  <si>
    <t xml:space="preserve">Squeeze: flatten (78 features) x W (78x8, the ONLY learned object) = 8-dim embedding per token.</t>
  </si>
  <si>
    <t xml:space="preserve">Feature order: for each box (union, sorted), for each lens L0..L2, Re then Im. Absent box for a token = structural 0.</t>
  </si>
  <si>
    <t xml:space="preserve">feature</t>
  </si>
  <si>
    <t xml:space="preserve">good</t>
  </si>
  <si>
    <t xml:space="preserve">night</t>
  </si>
  <si>
    <t xml:space="preserve">sweet</t>
  </si>
  <si>
    <t xml:space="preserve">prince</t>
  </si>
  <si>
    <t xml:space="preserve">W col e0</t>
  </si>
  <si>
    <t xml:space="preserve">W col e1</t>
  </si>
  <si>
    <t xml:space="preserve">W col e2</t>
  </si>
  <si>
    <t xml:space="preserve">W col e3</t>
  </si>
  <si>
    <t xml:space="preserve">W col e4</t>
  </si>
  <si>
    <t xml:space="preserve">W col e5</t>
  </si>
  <si>
    <t xml:space="preserve">W col e6</t>
  </si>
  <si>
    <t xml:space="preserve">W col e7</t>
  </si>
  <si>
    <t xml:space="preserve">c(0x63) L0 Re</t>
  </si>
  <si>
    <t xml:space="preserve">c(0x63) L0 Im</t>
  </si>
  <si>
    <t xml:space="preserve">c(0x63) L1 Re</t>
  </si>
  <si>
    <t xml:space="preserve">c(0x63) L1 Im</t>
  </si>
  <si>
    <t xml:space="preserve">c(0x63) L2 Re</t>
  </si>
  <si>
    <t xml:space="preserve">c(0x63) L2 Im</t>
  </si>
  <si>
    <t xml:space="preserve">d(0x64) L0 Re</t>
  </si>
  <si>
    <t xml:space="preserve">d(0x64) L0 Im</t>
  </si>
  <si>
    <t xml:space="preserve">d(0x64) L1 Re</t>
  </si>
  <si>
    <t xml:space="preserve">d(0x64) L1 Im</t>
  </si>
  <si>
    <t xml:space="preserve">d(0x64) L2 Re</t>
  </si>
  <si>
    <t xml:space="preserve">d(0x64) L2 Im</t>
  </si>
  <si>
    <t xml:space="preserve">e(0x65) L0 Re</t>
  </si>
  <si>
    <t xml:space="preserve">e(0x65) L0 Im</t>
  </si>
  <si>
    <t xml:space="preserve">e(0x65) L1 Re</t>
  </si>
  <si>
    <t xml:space="preserve">e(0x65) L1 Im</t>
  </si>
  <si>
    <t xml:space="preserve">e(0x65) L2 Re</t>
  </si>
  <si>
    <t xml:space="preserve">e(0x65) L2 Im</t>
  </si>
  <si>
    <t xml:space="preserve">g(0x67) L0 Re</t>
  </si>
  <si>
    <t xml:space="preserve">g(0x67) L0 Im</t>
  </si>
  <si>
    <t xml:space="preserve">g(0x67) L1 Re</t>
  </si>
  <si>
    <t xml:space="preserve">g(0x67) L1 Im</t>
  </si>
  <si>
    <t xml:space="preserve">g(0x67) L2 Re</t>
  </si>
  <si>
    <t xml:space="preserve">g(0x67) L2 Im</t>
  </si>
  <si>
    <t xml:space="preserve">h(0x68) L0 Re</t>
  </si>
  <si>
    <t xml:space="preserve">h(0x68) L0 Im</t>
  </si>
  <si>
    <t xml:space="preserve">h(0x68) L1 Re</t>
  </si>
  <si>
    <t xml:space="preserve">h(0x68) L1 Im</t>
  </si>
  <si>
    <t xml:space="preserve">h(0x68) L2 Re</t>
  </si>
  <si>
    <t xml:space="preserve">h(0x68) L2 Im</t>
  </si>
  <si>
    <t xml:space="preserve">i(0x69) L0 Re</t>
  </si>
  <si>
    <t xml:space="preserve">i(0x69) L0 Im</t>
  </si>
  <si>
    <t xml:space="preserve">i(0x69) L1 Re</t>
  </si>
  <si>
    <t xml:space="preserve">i(0x69) L1 Im</t>
  </si>
  <si>
    <t xml:space="preserve">i(0x69) L2 Re</t>
  </si>
  <si>
    <t xml:space="preserve">i(0x69) L2 Im</t>
  </si>
  <si>
    <t xml:space="preserve">n(0x6E) L0 Re</t>
  </si>
  <si>
    <t xml:space="preserve">n(0x6E) L0 Im</t>
  </si>
  <si>
    <t xml:space="preserve">n(0x6E) L1 Re</t>
  </si>
  <si>
    <t xml:space="preserve">n(0x6E) L1 Im</t>
  </si>
  <si>
    <t xml:space="preserve">n(0x6E) L2 Re</t>
  </si>
  <si>
    <t xml:space="preserve">n(0x6E) L2 Im</t>
  </si>
  <si>
    <t xml:space="preserve">o(0x6F) L0 Re</t>
  </si>
  <si>
    <t xml:space="preserve">o(0x6F) L0 Im</t>
  </si>
  <si>
    <t xml:space="preserve">o(0x6F) L1 Re</t>
  </si>
  <si>
    <t xml:space="preserve">o(0x6F) L1 Im</t>
  </si>
  <si>
    <t xml:space="preserve">o(0x6F) L2 Re</t>
  </si>
  <si>
    <t xml:space="preserve">o(0x6F) L2 Im</t>
  </si>
  <si>
    <t xml:space="preserve">p(0x70) L0 Re</t>
  </si>
  <si>
    <t xml:space="preserve">p(0x70) L0 Im</t>
  </si>
  <si>
    <t xml:space="preserve">p(0x70) L1 Re</t>
  </si>
  <si>
    <t xml:space="preserve">p(0x70) L1 Im</t>
  </si>
  <si>
    <t xml:space="preserve">p(0x70) L2 Re</t>
  </si>
  <si>
    <t xml:space="preserve">p(0x70) L2 Im</t>
  </si>
  <si>
    <t xml:space="preserve">r(0x72) L0 Re</t>
  </si>
  <si>
    <t xml:space="preserve">r(0x72) L0 Im</t>
  </si>
  <si>
    <t xml:space="preserve">r(0x72) L1 Re</t>
  </si>
  <si>
    <t xml:space="preserve">r(0x72) L1 Im</t>
  </si>
  <si>
    <t xml:space="preserve">r(0x72) L2 Re</t>
  </si>
  <si>
    <t xml:space="preserve">r(0x72) L2 Im</t>
  </si>
  <si>
    <t xml:space="preserve">s(0x73) L0 Re</t>
  </si>
  <si>
    <t xml:space="preserve">s(0x73) L0 Im</t>
  </si>
  <si>
    <t xml:space="preserve">s(0x73) L1 Re</t>
  </si>
  <si>
    <t xml:space="preserve">s(0x73) L1 Im</t>
  </si>
  <si>
    <t xml:space="preserve">s(0x73) L2 Re</t>
  </si>
  <si>
    <t xml:space="preserve">s(0x73) L2 Im</t>
  </si>
  <si>
    <t xml:space="preserve">t(0x74) L0 Re</t>
  </si>
  <si>
    <t xml:space="preserve">t(0x74) L0 Im</t>
  </si>
  <si>
    <t xml:space="preserve">t(0x74) L1 Re</t>
  </si>
  <si>
    <t xml:space="preserve">t(0x74) L1 Im</t>
  </si>
  <si>
    <t xml:space="preserve">t(0x74) L2 Re</t>
  </si>
  <si>
    <t xml:space="preserve">t(0x74) L2 Im</t>
  </si>
  <si>
    <t xml:space="preserve">w(0x77) L0 Re</t>
  </si>
  <si>
    <t xml:space="preserve">w(0x77) L0 Im</t>
  </si>
  <si>
    <t xml:space="preserve">w(0x77) L1 Re</t>
  </si>
  <si>
    <t xml:space="preserve">w(0x77) L1 Im</t>
  </si>
  <si>
    <t xml:space="preserve">w(0x77) L2 Re</t>
  </si>
  <si>
    <t xml:space="preserve">w(0x77) L2 Im</t>
  </si>
  <si>
    <t xml:space="preserve">EMBEDDINGS  e_j = SUMPRODUCT(token column, W column)</t>
  </si>
  <si>
    <t xml:space="preserve">dim</t>
  </si>
  <si>
    <t xml:space="preserve">e0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</si>
  <si>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</si>
  <si>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</si>
  <si>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</si>
  <si>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</si>
  <si>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</si>
  <si>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</si>
  <si>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</si>
  <si>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Slot twist: embedding read as 4 pairs; pair j of token at slot m rotates by theta_j x m.</t>
  </si>
  <si>
    <t xml:space="preserve">new Re = Re*cos - Im*sin ; new Im = Re*sin + Im*cos. m=0 -&gt; untouched. Lengths never change (bottom check).</t>
  </si>
  <si>
    <t xml:space="preserve">token</t>
  </si>
  <si>
    <t xml:space="preserve">m</t>
  </si>
  <si>
    <t xml:space="preserve">pair0 Re</t>
  </si>
  <si>
    <t xml:space="preserve">pair0 Im</t>
  </si>
  <si>
    <t xml:space="preserve">pair1 Re</t>
  </si>
  <si>
    <t xml:space="preserve">pair1 Im</t>
  </si>
  <si>
    <t xml:space="preserve">pair2 Re</t>
  </si>
  <si>
    <t xml:space="preserve">pair2 Im</t>
  </si>
  <si>
    <t xml:space="preserve">pair3 Re</t>
  </si>
  <si>
    <t xml:space="preserve">pair3 Im</t>
  </si>
  <si>
    <t xml:space="preserve">BEFORE (from Squeeze)</t>
  </si>
  <si>
    <t xml:space="preserve">AFTER twist (each pair rotated by theta_j x m)</t>
  </si>
  <si>
    <t xml:space="preserve">CHECK: pair lengths unchanged by twist, token "sweet":</t>
  </si>
  <si>
    <t xml:space="preserve">pair</t>
  </si>
  <si>
    <t xml:space="preserve">len before</t>
  </si>
  <si>
    <t xml:space="preserve">len after</t>
  </si>
  <si>
    <t xml:space="preserve">pair0</t>
  </si>
  <si>
    <t xml:space="preserve">pair1</t>
  </si>
  <si>
    <t xml:space="preserve">pair2</t>
  </si>
  <si>
    <t xml:space="preserve">pair3</t>
  </si>
  <si>
    <t xml:space="preserve">Payoff: the SAME token (sweet) twisted at different slots, then dot-producted. Only the GAP m-n matters.</t>
  </si>
  <si>
    <t xml:space="preserve">Rows: sweet twisted at m = 2, 5, 7, 10, 3. Scores: (2,5) and (7,10) are gap 3 -&gt; IDENTICAL. (2,3) is gap 1 -&gt; different.</t>
  </si>
  <si>
    <t xml:space="preserve">score(m=2, n=5)   gap 3</t>
  </si>
  <si>
    <t xml:space="preserve">these two...</t>
  </si>
  <si>
    <t xml:space="preserve">score(m=7, n=10)  gap 3</t>
  </si>
  <si>
    <t xml:space="preserve">...are identical</t>
  </si>
  <si>
    <t xml:space="preserve">score(m=2, n=3)   gap 1</t>
  </si>
  <si>
    <t xml:space="preserve">different gap, different score</t>
  </si>
  <si>
    <t xml:space="preserve">Lengths equal everywhere (identity); phases differ only via theta_j x (m-n): absolute slots cancelled.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</si>
</sst>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F3E8FD"/>
      </patternFill>
    </fill>
    <fill>
      <patternFill patternType="solid">
        <fgColor rgb="FFE8F0FE"/>
        <bgColor rgb="FFE6F4EA"/>
      </patternFill>
    </fill>
    <fill>
      <patternFill patternType="solid">
        <fgColor rgb="FFE6F4EA"/>
        <bgColor rgb="FFE8F0FE"/>
      </patternFill>
    </fill>
    <fill>
      <patternFill patternType="solid">
        <fgColor rgb="FFFDF3E7"/>
        <bgColor rgb="FFFCE8E6"/>
      </patternFill>
    </fill>
    <fill>
      <patternFill patternType="solid">
        <fgColor rgb="FFF3E8FD"/>
        <bgColor rgb="FFE8F0FE"/>
      </patternFill>
    </fill>
    <fill>
      <patternFill patternType="solid">
        <fgColor rgb="FFFCE8E6"/>
        <bgColor rgb="FFFDF3E7"/>
      </patternFill>
    </fill>
    <fill>
      <patternFill patternType="solid">
        <fgColor rgb="FFFFF2AB"/>
        <bgColor rgb="FFFDF3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F3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8E6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3E8FD"/>
      <rgbColor rgb="FFFFF2A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15</v>
      </c>
    </row>
    <row r="3" customFormat="false" ht="15" hidden="false" customHeight="false" outlineLevel="0" collapsed="false">
      <c r="A3" s="1" t="s">
        <v>16</v>
      </c>
      <c r="B3" s="4" t="n">
        <v>0.9</v>
      </c>
    </row>
    <row r="4" customFormat="false" ht="15" hidden="false" customHeight="false" outlineLevel="0" collapsed="false">
      <c r="A4" s="1" t="s">
        <v>17</v>
      </c>
      <c r="B4" s="4" t="n">
        <v>10</v>
      </c>
    </row>
    <row r="5" customFormat="false" ht="15" hidden="false" customHeight="false" outlineLevel="0" collapsed="false">
      <c r="A5" s="1" t="s">
        <v>18</v>
      </c>
      <c r="B5" s="2" t="n">
        <f aca="false">1/B4</f>
        <v>0.1</v>
      </c>
    </row>
    <row r="6" customFormat="false" ht="15" hidden="false" customHeight="false" outlineLevel="0" collapsed="false">
      <c r="A6" s="1" t="s">
        <v>19</v>
      </c>
      <c r="B6" s="4" t="n">
        <v>3</v>
      </c>
    </row>
    <row r="7" customFormat="false" ht="15" hidden="false" customHeight="false" outlineLevel="0" collapsed="false">
      <c r="A7" s="1" t="s">
        <v>20</v>
      </c>
      <c r="B7" s="2" t="n">
        <f aca="false">(B5/B3)^(1/(B6-1))</f>
        <v>0.333333333333333</v>
      </c>
    </row>
    <row r="9" customFormat="false" ht="15" hidden="false" customHeight="false" outlineLevel="0" collapsed="false">
      <c r="A9" s="1" t="s">
        <v>21</v>
      </c>
      <c r="B9" s="4" t="n">
        <v>16</v>
      </c>
    </row>
    <row r="10" customFormat="false" ht="15" hidden="false" customHeight="false" outlineLevel="0" collapsed="false">
      <c r="A10" s="1" t="s">
        <v>22</v>
      </c>
      <c r="B10" s="2" t="n">
        <f aca="false">1/B9</f>
        <v>0.0625</v>
      </c>
    </row>
    <row r="11" customFormat="false" ht="15" hidden="false" customHeight="false" outlineLevel="0" collapsed="false">
      <c r="A11" s="1" t="s">
        <v>23</v>
      </c>
      <c r="B11" s="4" t="n">
        <v>4</v>
      </c>
    </row>
    <row r="12" customFormat="false" ht="15" hidden="false" customHeight="false" outlineLevel="0" collapsed="false">
      <c r="A12" s="1" t="s">
        <v>24</v>
      </c>
      <c r="B12" s="2" t="n">
        <f aca="false">(B10/B3)^(1/(B11-1))</f>
        <v>0.411035345721745</v>
      </c>
    </row>
    <row r="14" customFormat="false" ht="15" hidden="false" customHeight="false" outlineLevel="0" collapsed="false">
      <c r="A14" s="5" t="s">
        <v>25</v>
      </c>
    </row>
    <row r="15" customFormat="false" ht="15" hidden="false" customHeight="false" outlineLevel="0" collapsed="false">
      <c r="A15" s="6" t="s">
        <v>26</v>
      </c>
      <c r="B15" s="6" t="n">
        <f aca="false">180*$B$3*$B$7^0</f>
        <v>162</v>
      </c>
    </row>
    <row r="16" customFormat="false" ht="15" hidden="false" customHeight="false" outlineLevel="0" collapsed="false">
      <c r="A16" s="6" t="s">
        <v>27</v>
      </c>
      <c r="B16" s="6" t="n">
        <f aca="false">180*$B$3*$B$7^1</f>
        <v>54</v>
      </c>
    </row>
    <row r="17" customFormat="false" ht="15" hidden="false" customHeight="false" outlineLevel="0" collapsed="false">
      <c r="A17" s="6" t="s">
        <v>28</v>
      </c>
      <c r="B17" s="6" t="n">
        <f aca="false">180*$B$3*$B$7^2</f>
        <v>18</v>
      </c>
    </row>
    <row r="19" customFormat="false" ht="15" hidden="false" customHeight="false" outlineLevel="0" collapsed="false">
      <c r="A19" s="5" t="s">
        <v>29</v>
      </c>
    </row>
    <row r="20" customFormat="false" ht="15" hidden="false" customHeight="false" outlineLevel="0" collapsed="false">
      <c r="A20" s="6" t="s">
        <v>30</v>
      </c>
      <c r="B20" s="6" t="n">
        <f aca="false">180*$B$3*$B$12^0</f>
        <v>162</v>
      </c>
    </row>
    <row r="21" customFormat="false" ht="15" hidden="false" customHeight="false" outlineLevel="0" collapsed="false">
      <c r="A21" s="6" t="s">
        <v>31</v>
      </c>
      <c r="B21" s="6" t="n">
        <f aca="false">180*$B$3*$B$12^1</f>
        <v>66.5877260069227</v>
      </c>
    </row>
    <row r="22" customFormat="false" ht="15" hidden="false" customHeight="false" outlineLevel="0" collapsed="false">
      <c r="A22" s="6" t="s">
        <v>32</v>
      </c>
      <c r="B22" s="6" t="n">
        <f aca="false">180*$B$3*$B$12^2</f>
        <v>27.3699089800803</v>
      </c>
    </row>
    <row r="23" customFormat="false" ht="15" hidden="false" customHeight="false" outlineLevel="0" collapsed="false">
      <c r="A23" s="6" t="s">
        <v>33</v>
      </c>
      <c r="B23" s="6" t="n">
        <f aca="false">180*$B$3*$B$12^3</f>
        <v>11.25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0" min="3" style="0" width="9"/>
  </cols>
  <sheetData>
    <row r="1" customFormat="false" ht="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3" t="s">
        <v>35</v>
      </c>
    </row>
    <row r="5" customFormat="false" ht="15" hidden="false" customHeight="false" outlineLevel="0" collapsed="false">
      <c r="C5" s="7" t="s">
        <v>36</v>
      </c>
      <c r="D5" s="7"/>
      <c r="E5" s="7"/>
      <c r="F5" s="7"/>
      <c r="G5" s="8" t="s">
        <v>37</v>
      </c>
      <c r="H5" s="8"/>
      <c r="I5" s="8"/>
      <c r="J5" s="8"/>
      <c r="K5" s="8" t="s">
        <v>38</v>
      </c>
      <c r="L5" s="8"/>
      <c r="M5" s="8"/>
      <c r="N5" s="8"/>
      <c r="O5" s="9" t="s">
        <v>39</v>
      </c>
      <c r="P5" s="9"/>
      <c r="Q5" s="9"/>
      <c r="R5" s="9"/>
      <c r="S5" s="9"/>
      <c r="T5" s="9"/>
      <c r="U5" s="10" t="s">
        <v>40</v>
      </c>
      <c r="V5" s="10"/>
      <c r="W5" s="10"/>
      <c r="X5" s="11" t="s">
        <v>41</v>
      </c>
      <c r="Y5" s="12" t="s">
        <v>42</v>
      </c>
      <c r="Z5" s="12"/>
      <c r="AA5" s="12"/>
      <c r="AB5" s="12"/>
      <c r="AC5" s="12"/>
      <c r="AD5" s="12"/>
    </row>
    <row r="6" customFormat="false" ht="15" hidden="false" customHeight="false" outlineLevel="0" collapsed="false">
      <c r="A6" s="1" t="s">
        <v>43</v>
      </c>
      <c r="B6" s="1" t="s">
        <v>44</v>
      </c>
      <c r="C6" s="13" t="s">
        <v>45</v>
      </c>
      <c r="D6" s="13" t="s">
        <v>46</v>
      </c>
      <c r="E6" s="13" t="s">
        <v>47</v>
      </c>
      <c r="F6" s="13" t="s">
        <v>48</v>
      </c>
      <c r="G6" s="13" t="s">
        <v>45</v>
      </c>
      <c r="H6" s="13" t="s">
        <v>46</v>
      </c>
      <c r="I6" s="13" t="s">
        <v>47</v>
      </c>
      <c r="J6" s="13" t="s">
        <v>48</v>
      </c>
      <c r="K6" s="13" t="s">
        <v>45</v>
      </c>
      <c r="L6" s="13" t="s">
        <v>46</v>
      </c>
      <c r="M6" s="13" t="s">
        <v>47</v>
      </c>
      <c r="N6" s="13" t="s">
        <v>48</v>
      </c>
      <c r="O6" s="13" t="s">
        <v>49</v>
      </c>
      <c r="P6" s="13" t="s">
        <v>50</v>
      </c>
      <c r="Q6" s="13" t="s">
        <v>51</v>
      </c>
      <c r="R6" s="13" t="s">
        <v>52</v>
      </c>
      <c r="S6" s="14" t="s">
        <v>53</v>
      </c>
      <c r="T6" s="14" t="s">
        <v>54</v>
      </c>
      <c r="U6" s="13" t="s">
        <v>55</v>
      </c>
      <c r="V6" s="13" t="s">
        <v>56</v>
      </c>
      <c r="W6" s="14" t="s">
        <v>57</v>
      </c>
      <c r="X6" s="1" t="s">
        <v>58</v>
      </c>
      <c r="Y6" s="13" t="s">
        <v>49</v>
      </c>
      <c r="Z6" s="13" t="s">
        <v>50</v>
      </c>
      <c r="AA6" s="13" t="s">
        <v>51</v>
      </c>
      <c r="AB6" s="13" t="s">
        <v>52</v>
      </c>
      <c r="AC6" s="14" t="s">
        <v>53</v>
      </c>
      <c r="AD6" s="14" t="s">
        <v>54</v>
      </c>
    </row>
    <row r="7" customFormat="false" ht="15" hidden="false" customHeight="false" outlineLevel="0" collapsed="false">
      <c r="O7" s="3" t="s">
        <v>59</v>
      </c>
      <c r="Q7" s="3" t="s">
        <v>60</v>
      </c>
      <c r="S7" s="15" t="s">
        <v>61</v>
      </c>
    </row>
    <row r="8" customFormat="false" ht="15" hidden="false" customHeight="false" outlineLevel="0" collapsed="false">
      <c r="A8" s="6" t="s">
        <v>26</v>
      </c>
      <c r="B8" s="6" t="n">
        <f aca="false">ROUND(Ladder!$B$15,2)</f>
        <v>162</v>
      </c>
      <c r="C8" s="6" t="n">
        <f aca="false">-0*Ladder!$B$15</f>
        <v>-0</v>
      </c>
      <c r="D8" s="6" t="n">
        <f aca="false">-1*Ladder!$B$15</f>
        <v>-162</v>
      </c>
      <c r="E8" s="6" t="n">
        <f aca="false">-2*Ladder!$B$15</f>
        <v>-324</v>
      </c>
      <c r="F8" s="6" t="n">
        <f aca="false">-3*Ladder!$B$15</f>
        <v>-486</v>
      </c>
      <c r="G8" s="6" t="n">
        <f aca="false">COS(RADIANS(C8))</f>
        <v>1</v>
      </c>
      <c r="H8" s="6" t="n">
        <f aca="false">COS(RADIANS(D8))</f>
        <v>-0.951056516295154</v>
      </c>
      <c r="I8" s="6" t="n">
        <f aca="false">COS(RADIANS(E8))</f>
        <v>0.809016994374947</v>
      </c>
      <c r="J8" s="6" t="n">
        <f aca="false">COS(RADIANS(F8))</f>
        <v>-0.587785252292473</v>
      </c>
      <c r="K8" s="6" t="n">
        <f aca="false">SIN(RADIANS(C8))</f>
        <v>-0</v>
      </c>
      <c r="L8" s="6" t="n">
        <f aca="false">SIN(RADIANS(D8))</f>
        <v>-0.309016994374948</v>
      </c>
      <c r="M8" s="6" t="n">
        <f aca="false">SIN(RADIANS(E8))</f>
        <v>0.587785252292473</v>
      </c>
      <c r="N8" s="6" t="n">
        <f aca="false">SIN(RADIANS(F8))</f>
        <v>-0.809016994374948</v>
      </c>
      <c r="O8" s="6" t="n">
        <f aca="false">J8</f>
        <v>-0.587785252292473</v>
      </c>
      <c r="P8" s="6" t="n">
        <f aca="false">N8</f>
        <v>-0.809016994374948</v>
      </c>
      <c r="Q8" s="6" t="n">
        <f aca="false">G8</f>
        <v>1</v>
      </c>
      <c r="R8" s="6" t="n">
        <f aca="false">K8</f>
        <v>-0</v>
      </c>
      <c r="S8" s="16" t="n">
        <f aca="false">H8+I8</f>
        <v>-0.142039521920206</v>
      </c>
      <c r="T8" s="16" t="n">
        <f aca="false">L8+M8</f>
        <v>0.278768257917526</v>
      </c>
      <c r="U8" s="6" t="n">
        <f aca="false">SQRT(O8^2+P8^2)</f>
        <v>1</v>
      </c>
      <c r="V8" s="6" t="n">
        <f aca="false">SQRT(Q8^2+R8^2)</f>
        <v>1</v>
      </c>
      <c r="W8" s="6" t="n">
        <f aca="false">SQRT(S8^2+T8^2)</f>
        <v>0.312868930080462</v>
      </c>
      <c r="X8" s="6" t="n">
        <f aca="false">SUMSQ(U8:W8)</f>
        <v>2.09788696740969</v>
      </c>
      <c r="Y8" s="6" t="n">
        <f aca="false">O8/$B$13</f>
        <v>-0.161932481295505</v>
      </c>
      <c r="Z8" s="6" t="n">
        <f aca="false">P8/$B$13</f>
        <v>-0.22288093959217</v>
      </c>
      <c r="AA8" s="6" t="n">
        <f aca="false">Q8/$B$13</f>
        <v>0.275495992224947</v>
      </c>
      <c r="AB8" s="6" t="n">
        <f aca="false">R8/$B$13</f>
        <v>-0</v>
      </c>
      <c r="AC8" s="16" t="n">
        <f aca="false">S8/$B$13</f>
        <v>-0.0391313190265643</v>
      </c>
      <c r="AD8" s="16" t="n">
        <f aca="false">T8/$B$13</f>
        <v>0.0767995378158086</v>
      </c>
    </row>
    <row r="9" customFormat="false" ht="15" hidden="false" customHeight="false" outlineLevel="0" collapsed="false">
      <c r="A9" s="6" t="s">
        <v>27</v>
      </c>
      <c r="B9" s="6" t="n">
        <f aca="false">ROUND(Ladder!$B$16,2)</f>
        <v>54</v>
      </c>
      <c r="C9" s="6" t="n">
        <f aca="false">-0*Ladder!$B$16</f>
        <v>-0</v>
      </c>
      <c r="D9" s="6" t="n">
        <f aca="false">-1*Ladder!$B$16</f>
        <v>-54</v>
      </c>
      <c r="E9" s="6" t="n">
        <f aca="false">-2*Ladder!$B$16</f>
        <v>-108</v>
      </c>
      <c r="F9" s="6" t="n">
        <f aca="false">-3*Ladder!$B$16</f>
        <v>-162</v>
      </c>
      <c r="G9" s="6" t="n">
        <f aca="false">COS(RADIANS(C9))</f>
        <v>1</v>
      </c>
      <c r="H9" s="6" t="n">
        <f aca="false">COS(RADIANS(D9))</f>
        <v>0.587785252292473</v>
      </c>
      <c r="I9" s="6" t="n">
        <f aca="false">COS(RADIANS(E9))</f>
        <v>-0.309016994374948</v>
      </c>
      <c r="J9" s="6" t="n">
        <f aca="false">COS(RADIANS(F9))</f>
        <v>-0.951056516295154</v>
      </c>
      <c r="K9" s="6" t="n">
        <f aca="false">SIN(RADIANS(C9))</f>
        <v>-0</v>
      </c>
      <c r="L9" s="6" t="n">
        <f aca="false">SIN(RADIANS(D9))</f>
        <v>-0.809016994374948</v>
      </c>
      <c r="M9" s="6" t="n">
        <f aca="false">SIN(RADIANS(E9))</f>
        <v>-0.951056516295154</v>
      </c>
      <c r="N9" s="6" t="n">
        <f aca="false">SIN(RADIANS(F9))</f>
        <v>-0.309016994374947</v>
      </c>
      <c r="O9" s="6" t="n">
        <f aca="false">J9</f>
        <v>-0.951056516295154</v>
      </c>
      <c r="P9" s="6" t="n">
        <f aca="false">N9</f>
        <v>-0.309016994374947</v>
      </c>
      <c r="Q9" s="6" t="n">
        <f aca="false">G9</f>
        <v>1</v>
      </c>
      <c r="R9" s="6" t="n">
        <f aca="false">K9</f>
        <v>-0</v>
      </c>
      <c r="S9" s="16" t="n">
        <f aca="false">H9+I9</f>
        <v>0.278768257917525</v>
      </c>
      <c r="T9" s="16" t="n">
        <f aca="false">L9+M9</f>
        <v>-1.7600735106701</v>
      </c>
      <c r="U9" s="6" t="n">
        <f aca="false">SQRT(O9^2+P9^2)</f>
        <v>1</v>
      </c>
      <c r="V9" s="6" t="n">
        <f aca="false">SQRT(Q9^2+R9^2)</f>
        <v>1</v>
      </c>
      <c r="W9" s="6" t="n">
        <f aca="false">SQRT(S9^2+T9^2)</f>
        <v>1.78201304837674</v>
      </c>
      <c r="X9" s="6" t="n">
        <f aca="false">SUMSQ(U9:W9)</f>
        <v>5.17557050458495</v>
      </c>
      <c r="Y9" s="6" t="n">
        <f aca="false">O9/$B$13</f>
        <v>-0.262012258618734</v>
      </c>
      <c r="Z9" s="6" t="n">
        <f aca="false">P9/$B$13</f>
        <v>-0.0851329434796968</v>
      </c>
      <c r="AA9" s="6" t="n">
        <f aca="false">Q9/$B$13</f>
        <v>0.275495992224947</v>
      </c>
      <c r="AB9" s="6" t="n">
        <f aca="false">R9/$B$13</f>
        <v>-0</v>
      </c>
      <c r="AC9" s="16" t="n">
        <f aca="false">S9/$B$13</f>
        <v>0.0767995378158085</v>
      </c>
      <c r="AD9" s="16" t="n">
        <f aca="false">T9/$B$13</f>
        <v>-0.484893198210905</v>
      </c>
    </row>
    <row r="10" customFormat="false" ht="15" hidden="false" customHeight="false" outlineLevel="0" collapsed="false">
      <c r="A10" s="6" t="s">
        <v>28</v>
      </c>
      <c r="B10" s="6" t="n">
        <f aca="false">ROUND(Ladder!$B$17,2)</f>
        <v>18</v>
      </c>
      <c r="C10" s="6" t="n">
        <f aca="false">-0*Ladder!$B$17</f>
        <v>-0</v>
      </c>
      <c r="D10" s="6" t="n">
        <f aca="false">-1*Ladder!$B$17</f>
        <v>-18</v>
      </c>
      <c r="E10" s="6" t="n">
        <f aca="false">-2*Ladder!$B$17</f>
        <v>-36</v>
      </c>
      <c r="F10" s="6" t="n">
        <f aca="false">-3*Ladder!$B$17</f>
        <v>-54</v>
      </c>
      <c r="G10" s="6" t="n">
        <f aca="false">COS(RADIANS(C10))</f>
        <v>1</v>
      </c>
      <c r="H10" s="6" t="n">
        <f aca="false">COS(RADIANS(D10))</f>
        <v>0.951056516295154</v>
      </c>
      <c r="I10" s="6" t="n">
        <f aca="false">COS(RADIANS(E10))</f>
        <v>0.809016994374947</v>
      </c>
      <c r="J10" s="6" t="n">
        <f aca="false">COS(RADIANS(F10))</f>
        <v>0.587785252292473</v>
      </c>
      <c r="K10" s="6" t="n">
        <f aca="false">SIN(RADIANS(C10))</f>
        <v>-0</v>
      </c>
      <c r="L10" s="6" t="n">
        <f aca="false">SIN(RADIANS(D10))</f>
        <v>-0.309016994374947</v>
      </c>
      <c r="M10" s="6" t="n">
        <f aca="false">SIN(RADIANS(E10))</f>
        <v>-0.587785252292473</v>
      </c>
      <c r="N10" s="6" t="n">
        <f aca="false">SIN(RADIANS(F10))</f>
        <v>-0.809016994374948</v>
      </c>
      <c r="O10" s="6" t="n">
        <f aca="false">J10</f>
        <v>0.587785252292473</v>
      </c>
      <c r="P10" s="6" t="n">
        <f aca="false">N10</f>
        <v>-0.809016994374948</v>
      </c>
      <c r="Q10" s="6" t="n">
        <f aca="false">G10</f>
        <v>1</v>
      </c>
      <c r="R10" s="6" t="n">
        <f aca="false">K10</f>
        <v>-0</v>
      </c>
      <c r="S10" s="16" t="n">
        <f aca="false">H10+I10</f>
        <v>1.7600735106701</v>
      </c>
      <c r="T10" s="16" t="n">
        <f aca="false">L10+M10</f>
        <v>-0.896802246667421</v>
      </c>
      <c r="U10" s="6" t="n">
        <f aca="false">SQRT(O10^2+P10^2)</f>
        <v>1</v>
      </c>
      <c r="V10" s="6" t="n">
        <f aca="false">SQRT(Q10^2+R10^2)</f>
        <v>1</v>
      </c>
      <c r="W10" s="6" t="n">
        <f aca="false">SQRT(S10^2+T10^2)</f>
        <v>1.97537668119028</v>
      </c>
      <c r="X10" s="6" t="n">
        <f aca="false">SUMSQ(U10:W10)</f>
        <v>5.90211303259031</v>
      </c>
      <c r="Y10" s="6" t="n">
        <f aca="false">O10/$B$13</f>
        <v>0.161932481295505</v>
      </c>
      <c r="Z10" s="6" t="n">
        <f aca="false">P10/$B$13</f>
        <v>-0.22288093959217</v>
      </c>
      <c r="AA10" s="6" t="n">
        <f aca="false">Q10/$B$13</f>
        <v>0.275495992224947</v>
      </c>
      <c r="AB10" s="6" t="n">
        <f aca="false">R10/$B$13</f>
        <v>-0</v>
      </c>
      <c r="AC10" s="16" t="n">
        <f aca="false">S10/$B$13</f>
        <v>0.484893198210905</v>
      </c>
      <c r="AD10" s="16" t="n">
        <f aca="false">T10/$B$13</f>
        <v>-0.247065424775202</v>
      </c>
    </row>
    <row r="12" customFormat="false" ht="15" hidden="false" customHeight="false" outlineLevel="0" collapsed="false">
      <c r="A12" s="1" t="s">
        <v>62</v>
      </c>
      <c r="B12" s="2" t="n">
        <f aca="false">SUM(X8:X10)</f>
        <v>13.1755705045849</v>
      </c>
    </row>
    <row r="13" customFormat="false" ht="15" hidden="false" customHeight="false" outlineLevel="0" collapsed="false">
      <c r="A13" s="1" t="s">
        <v>63</v>
      </c>
      <c r="B13" s="2" t="n">
        <f aca="false">SQRT(B12)</f>
        <v>3.62981686929037</v>
      </c>
    </row>
    <row r="14" customFormat="false" ht="15" hidden="false" customHeight="false" outlineLevel="0" collapsed="false">
      <c r="A14" s="1" t="s">
        <v>64</v>
      </c>
      <c r="B14" s="2" t="n">
        <f aca="false">SUMSQ(Y8:AD10)</f>
        <v>1</v>
      </c>
    </row>
  </sheetData>
  <mergeCells count="6">
    <mergeCell ref="C5:F5"/>
    <mergeCell ref="G5:J5"/>
    <mergeCell ref="K5:N5"/>
    <mergeCell ref="O5:T5"/>
    <mergeCell ref="U5:W5"/>
    <mergeCell ref="Y5:A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43" min="3" style="0" width="9"/>
  </cols>
  <sheetData>
    <row r="1" customFormat="false" ht="15" hidden="false" customHeight="false" outlineLevel="0" collapsed="false">
      <c r="A1" s="1" t="s">
        <v>65</v>
      </c>
    </row>
    <row r="2" customFormat="false" ht="15" hidden="false" customHeight="false" outlineLevel="0" collapsed="false">
      <c r="A2" s="3" t="s">
        <v>35</v>
      </c>
    </row>
    <row r="5" customFormat="false" ht="15" hidden="false" customHeight="false" outlineLevel="0" collapsed="false">
      <c r="C5" s="7" t="s">
        <v>36</v>
      </c>
      <c r="D5" s="7"/>
      <c r="E5" s="7"/>
      <c r="F5" s="7"/>
      <c r="G5" s="7"/>
      <c r="H5" s="8" t="s">
        <v>37</v>
      </c>
      <c r="I5" s="8"/>
      <c r="J5" s="8"/>
      <c r="K5" s="8"/>
      <c r="L5" s="8"/>
      <c r="M5" s="8" t="s">
        <v>38</v>
      </c>
      <c r="N5" s="8"/>
      <c r="O5" s="8"/>
      <c r="P5" s="8"/>
      <c r="Q5" s="8"/>
      <c r="R5" s="9" t="s">
        <v>39</v>
      </c>
      <c r="S5" s="9"/>
      <c r="T5" s="9"/>
      <c r="U5" s="9"/>
      <c r="V5" s="9"/>
      <c r="W5" s="9"/>
      <c r="X5" s="9"/>
      <c r="Y5" s="9"/>
      <c r="Z5" s="9"/>
      <c r="AA5" s="9"/>
      <c r="AB5" s="10" t="s">
        <v>40</v>
      </c>
      <c r="AC5" s="10"/>
      <c r="AD5" s="10"/>
      <c r="AE5" s="10"/>
      <c r="AF5" s="10"/>
      <c r="AG5" s="11" t="s">
        <v>41</v>
      </c>
      <c r="AH5" s="12" t="s">
        <v>42</v>
      </c>
      <c r="AI5" s="12"/>
      <c r="AJ5" s="12"/>
      <c r="AK5" s="12"/>
      <c r="AL5" s="12"/>
      <c r="AM5" s="12"/>
      <c r="AN5" s="12"/>
      <c r="AO5" s="12"/>
      <c r="AP5" s="12"/>
      <c r="AQ5" s="12"/>
    </row>
    <row r="6" customFormat="false" ht="15" hidden="false" customHeight="false" outlineLevel="0" collapsed="false">
      <c r="A6" s="1" t="s">
        <v>43</v>
      </c>
      <c r="B6" s="1" t="s">
        <v>44</v>
      </c>
      <c r="C6" s="13" t="s">
        <v>66</v>
      </c>
      <c r="D6" s="13" t="s">
        <v>67</v>
      </c>
      <c r="E6" s="13" t="s">
        <v>68</v>
      </c>
      <c r="F6" s="13" t="s">
        <v>69</v>
      </c>
      <c r="G6" s="13" t="s">
        <v>70</v>
      </c>
      <c r="H6" s="13" t="s">
        <v>66</v>
      </c>
      <c r="I6" s="13" t="s">
        <v>67</v>
      </c>
      <c r="J6" s="13" t="s">
        <v>68</v>
      </c>
      <c r="K6" s="13" t="s">
        <v>69</v>
      </c>
      <c r="L6" s="13" t="s">
        <v>70</v>
      </c>
      <c r="M6" s="13" t="s">
        <v>66</v>
      </c>
      <c r="N6" s="13" t="s">
        <v>67</v>
      </c>
      <c r="O6" s="13" t="s">
        <v>68</v>
      </c>
      <c r="P6" s="13" t="s">
        <v>69</v>
      </c>
      <c r="Q6" s="13" t="s">
        <v>70</v>
      </c>
      <c r="R6" s="13" t="s">
        <v>51</v>
      </c>
      <c r="S6" s="13" t="s">
        <v>52</v>
      </c>
      <c r="T6" s="13" t="s">
        <v>71</v>
      </c>
      <c r="U6" s="13" t="s">
        <v>72</v>
      </c>
      <c r="V6" s="13" t="s">
        <v>73</v>
      </c>
      <c r="W6" s="13" t="s">
        <v>74</v>
      </c>
      <c r="X6" s="13" t="s">
        <v>75</v>
      </c>
      <c r="Y6" s="13" t="s">
        <v>76</v>
      </c>
      <c r="Z6" s="13" t="s">
        <v>77</v>
      </c>
      <c r="AA6" s="13" t="s">
        <v>78</v>
      </c>
      <c r="AB6" s="13" t="s">
        <v>56</v>
      </c>
      <c r="AC6" s="13" t="s">
        <v>79</v>
      </c>
      <c r="AD6" s="13" t="s">
        <v>80</v>
      </c>
      <c r="AE6" s="13" t="s">
        <v>81</v>
      </c>
      <c r="AF6" s="13" t="s">
        <v>82</v>
      </c>
      <c r="AG6" s="1" t="s">
        <v>58</v>
      </c>
      <c r="AH6" s="13" t="s">
        <v>51</v>
      </c>
      <c r="AI6" s="13" t="s">
        <v>52</v>
      </c>
      <c r="AJ6" s="13" t="s">
        <v>71</v>
      </c>
      <c r="AK6" s="13" t="s">
        <v>72</v>
      </c>
      <c r="AL6" s="13" t="s">
        <v>73</v>
      </c>
      <c r="AM6" s="13" t="s">
        <v>74</v>
      </c>
      <c r="AN6" s="13" t="s">
        <v>75</v>
      </c>
      <c r="AO6" s="13" t="s">
        <v>76</v>
      </c>
      <c r="AP6" s="13" t="s">
        <v>77</v>
      </c>
      <c r="AQ6" s="13" t="s">
        <v>78</v>
      </c>
    </row>
    <row r="7" customFormat="false" ht="15" hidden="false" customHeight="false" outlineLevel="0" collapsed="false">
      <c r="R7" s="3" t="s">
        <v>83</v>
      </c>
      <c r="T7" s="3" t="s">
        <v>59</v>
      </c>
      <c r="V7" s="3" t="s">
        <v>84</v>
      </c>
      <c r="X7" s="3" t="s">
        <v>60</v>
      </c>
      <c r="Z7" s="3" t="s">
        <v>85</v>
      </c>
    </row>
    <row r="8" customFormat="false" ht="15" hidden="false" customHeight="false" outlineLevel="0" collapsed="false">
      <c r="A8" s="6" t="s">
        <v>26</v>
      </c>
      <c r="B8" s="6" t="n">
        <f aca="false">ROUND(Ladder!$B$15,2)</f>
        <v>162</v>
      </c>
      <c r="C8" s="6" t="n">
        <f aca="false">-0*Ladder!$B$15</f>
        <v>-0</v>
      </c>
      <c r="D8" s="6" t="n">
        <f aca="false">-1*Ladder!$B$15</f>
        <v>-162</v>
      </c>
      <c r="E8" s="6" t="n">
        <f aca="false">-2*Ladder!$B$15</f>
        <v>-324</v>
      </c>
      <c r="F8" s="6" t="n">
        <f aca="false">-3*Ladder!$B$15</f>
        <v>-486</v>
      </c>
      <c r="G8" s="6" t="n">
        <f aca="false">-4*Ladder!$B$15</f>
        <v>-648</v>
      </c>
      <c r="H8" s="6" t="n">
        <f aca="false">COS(RADIANS(C8))</f>
        <v>1</v>
      </c>
      <c r="I8" s="6" t="n">
        <f aca="false">COS(RADIANS(D8))</f>
        <v>-0.951056516295154</v>
      </c>
      <c r="J8" s="6" t="n">
        <f aca="false">COS(RADIANS(E8))</f>
        <v>0.809016994374947</v>
      </c>
      <c r="K8" s="6" t="n">
        <f aca="false">COS(RADIANS(F8))</f>
        <v>-0.587785252292473</v>
      </c>
      <c r="L8" s="6" t="n">
        <f aca="false">COS(RADIANS(G8))</f>
        <v>0.309016994374947</v>
      </c>
      <c r="M8" s="6" t="n">
        <f aca="false">SIN(RADIANS(C8))</f>
        <v>-0</v>
      </c>
      <c r="N8" s="6" t="n">
        <f aca="false">SIN(RADIANS(D8))</f>
        <v>-0.309016994374948</v>
      </c>
      <c r="O8" s="6" t="n">
        <f aca="false">SIN(RADIANS(E8))</f>
        <v>0.587785252292473</v>
      </c>
      <c r="P8" s="6" t="n">
        <f aca="false">SIN(RADIANS(F8))</f>
        <v>-0.809016994374948</v>
      </c>
      <c r="Q8" s="6" t="n">
        <f aca="false">SIN(RADIANS(G8))</f>
        <v>0.951056516295154</v>
      </c>
      <c r="R8" s="6" t="n">
        <f aca="false">J8</f>
        <v>0.809016994374947</v>
      </c>
      <c r="S8" s="6" t="n">
        <f aca="false">O8</f>
        <v>0.587785252292473</v>
      </c>
      <c r="T8" s="6" t="n">
        <f aca="false">K8</f>
        <v>-0.587785252292473</v>
      </c>
      <c r="U8" s="6" t="n">
        <f aca="false">P8</f>
        <v>-0.809016994374948</v>
      </c>
      <c r="V8" s="6" t="n">
        <f aca="false">I8</f>
        <v>-0.951056516295154</v>
      </c>
      <c r="W8" s="6" t="n">
        <f aca="false">N8</f>
        <v>-0.309016994374948</v>
      </c>
      <c r="X8" s="6" t="n">
        <f aca="false">H8</f>
        <v>1</v>
      </c>
      <c r="Y8" s="6" t="n">
        <f aca="false">M8</f>
        <v>-0</v>
      </c>
      <c r="Z8" s="6" t="n">
        <f aca="false">L8</f>
        <v>0.309016994374947</v>
      </c>
      <c r="AA8" s="6" t="n">
        <f aca="false">Q8</f>
        <v>0.951056516295154</v>
      </c>
      <c r="AB8" s="6" t="n">
        <f aca="false">SQRT(R8^2+S8^2)</f>
        <v>1</v>
      </c>
      <c r="AC8" s="6" t="n">
        <f aca="false">SQRT(T8^2+U8^2)</f>
        <v>1</v>
      </c>
      <c r="AD8" s="6" t="n">
        <f aca="false">SQRT(V8^2+W8^2)</f>
        <v>1</v>
      </c>
      <c r="AE8" s="6" t="n">
        <f aca="false">SQRT(X8^2+Y8^2)</f>
        <v>1</v>
      </c>
      <c r="AF8" s="6" t="n">
        <f aca="false">SQRT(Z8^2+AA8^2)</f>
        <v>1</v>
      </c>
      <c r="AG8" s="6" t="n">
        <f aca="false">SUMSQ(AB8:AF8)</f>
        <v>5</v>
      </c>
      <c r="AH8" s="6" t="n">
        <f aca="false">R8/$B$13</f>
        <v>0.208887289734197</v>
      </c>
      <c r="AI8" s="6" t="n">
        <f aca="false">S8/$B$13</f>
        <v>0.151765499551672</v>
      </c>
      <c r="AJ8" s="6" t="n">
        <f aca="false">T8/$B$13</f>
        <v>-0.151765499551671</v>
      </c>
      <c r="AK8" s="6" t="n">
        <f aca="false">U8/$B$13</f>
        <v>-0.208887289734197</v>
      </c>
      <c r="AL8" s="6" t="n">
        <f aca="false">V8/$B$13</f>
        <v>-0.245561736594212</v>
      </c>
      <c r="AM8" s="6" t="n">
        <f aca="false">W8/$B$13</f>
        <v>-0.0797878448606162</v>
      </c>
      <c r="AN8" s="6" t="n">
        <f aca="false">X8/$B$13</f>
        <v>0.258198889747161</v>
      </c>
      <c r="AO8" s="6" t="n">
        <f aca="false">Y8/$B$13</f>
        <v>-0</v>
      </c>
      <c r="AP8" s="6" t="n">
        <f aca="false">Z8/$B$13</f>
        <v>0.0797878448606161</v>
      </c>
      <c r="AQ8" s="6" t="n">
        <f aca="false">AA8/$B$13</f>
        <v>0.245561736594212</v>
      </c>
    </row>
    <row r="9" customFormat="false" ht="15" hidden="false" customHeight="false" outlineLevel="0" collapsed="false">
      <c r="A9" s="6" t="s">
        <v>27</v>
      </c>
      <c r="B9" s="6" t="n">
        <f aca="false">ROUND(Ladder!$B$16,2)</f>
        <v>54</v>
      </c>
      <c r="C9" s="6" t="n">
        <f aca="false">-0*Ladder!$B$16</f>
        <v>-0</v>
      </c>
      <c r="D9" s="6" t="n">
        <f aca="false">-1*Ladder!$B$16</f>
        <v>-54</v>
      </c>
      <c r="E9" s="6" t="n">
        <f aca="false">-2*Ladder!$B$16</f>
        <v>-108</v>
      </c>
      <c r="F9" s="6" t="n">
        <f aca="false">-3*Ladder!$B$16</f>
        <v>-162</v>
      </c>
      <c r="G9" s="6" t="n">
        <f aca="false">-4*Ladder!$B$16</f>
        <v>-216</v>
      </c>
      <c r="H9" s="6" t="n">
        <f aca="false">COS(RADIANS(C9))</f>
        <v>1</v>
      </c>
      <c r="I9" s="6" t="n">
        <f aca="false">COS(RADIANS(D9))</f>
        <v>0.587785252292473</v>
      </c>
      <c r="J9" s="6" t="n">
        <f aca="false">COS(RADIANS(E9))</f>
        <v>-0.309016994374948</v>
      </c>
      <c r="K9" s="6" t="n">
        <f aca="false">COS(RADIANS(F9))</f>
        <v>-0.951056516295154</v>
      </c>
      <c r="L9" s="6" t="n">
        <f aca="false">COS(RADIANS(G9))</f>
        <v>-0.809016994374947</v>
      </c>
      <c r="M9" s="6" t="n">
        <f aca="false">SIN(RADIANS(C9))</f>
        <v>-0</v>
      </c>
      <c r="N9" s="6" t="n">
        <f aca="false">SIN(RADIANS(D9))</f>
        <v>-0.809016994374948</v>
      </c>
      <c r="O9" s="6" t="n">
        <f aca="false">SIN(RADIANS(E9))</f>
        <v>-0.951056516295154</v>
      </c>
      <c r="P9" s="6" t="n">
        <f aca="false">SIN(RADIANS(F9))</f>
        <v>-0.309016994374947</v>
      </c>
      <c r="Q9" s="6" t="n">
        <f aca="false">SIN(RADIANS(G9))</f>
        <v>0.587785252292473</v>
      </c>
      <c r="R9" s="6" t="n">
        <f aca="false">J9</f>
        <v>-0.309016994374948</v>
      </c>
      <c r="S9" s="6" t="n">
        <f aca="false">O9</f>
        <v>-0.951056516295154</v>
      </c>
      <c r="T9" s="6" t="n">
        <f aca="false">K9</f>
        <v>-0.951056516295154</v>
      </c>
      <c r="U9" s="6" t="n">
        <f aca="false">P9</f>
        <v>-0.309016994374947</v>
      </c>
      <c r="V9" s="6" t="n">
        <f aca="false">I9</f>
        <v>0.587785252292473</v>
      </c>
      <c r="W9" s="6" t="n">
        <f aca="false">N9</f>
        <v>-0.809016994374948</v>
      </c>
      <c r="X9" s="6" t="n">
        <f aca="false">H9</f>
        <v>1</v>
      </c>
      <c r="Y9" s="6" t="n">
        <f aca="false">M9</f>
        <v>-0</v>
      </c>
      <c r="Z9" s="6" t="n">
        <f aca="false">L9</f>
        <v>-0.809016994374947</v>
      </c>
      <c r="AA9" s="6" t="n">
        <f aca="false">Q9</f>
        <v>0.587785252292473</v>
      </c>
      <c r="AB9" s="6" t="n">
        <f aca="false">SQRT(R9^2+S9^2)</f>
        <v>1</v>
      </c>
      <c r="AC9" s="6" t="n">
        <f aca="false">SQRT(T9^2+U9^2)</f>
        <v>1</v>
      </c>
      <c r="AD9" s="6" t="n">
        <f aca="false">SQRT(V9^2+W9^2)</f>
        <v>1</v>
      </c>
      <c r="AE9" s="6" t="n">
        <f aca="false">SQRT(X9^2+Y9^2)</f>
        <v>1</v>
      </c>
      <c r="AF9" s="6" t="n">
        <f aca="false">SQRT(Z9^2+AA9^2)</f>
        <v>1</v>
      </c>
      <c r="AG9" s="6" t="n">
        <f aca="false">SUMSQ(AB9:AF9)</f>
        <v>5</v>
      </c>
      <c r="AH9" s="6" t="n">
        <f aca="false">R9/$B$13</f>
        <v>-0.0797878448606162</v>
      </c>
      <c r="AI9" s="6" t="n">
        <f aca="false">S9/$B$13</f>
        <v>-0.245561736594212</v>
      </c>
      <c r="AJ9" s="6" t="n">
        <f aca="false">T9/$B$13</f>
        <v>-0.245561736594212</v>
      </c>
      <c r="AK9" s="6" t="n">
        <f aca="false">U9/$B$13</f>
        <v>-0.0797878448606161</v>
      </c>
      <c r="AL9" s="6" t="n">
        <f aca="false">V9/$B$13</f>
        <v>0.151765499551672</v>
      </c>
      <c r="AM9" s="6" t="n">
        <f aca="false">W9/$B$13</f>
        <v>-0.208887289734197</v>
      </c>
      <c r="AN9" s="6" t="n">
        <f aca="false">X9/$B$13</f>
        <v>0.258198889747161</v>
      </c>
      <c r="AO9" s="6" t="n">
        <f aca="false">Y9/$B$13</f>
        <v>-0</v>
      </c>
      <c r="AP9" s="6" t="n">
        <f aca="false">Z9/$B$13</f>
        <v>-0.208887289734197</v>
      </c>
      <c r="AQ9" s="6" t="n">
        <f aca="false">AA9/$B$13</f>
        <v>0.151765499551672</v>
      </c>
    </row>
    <row r="10" customFormat="false" ht="15" hidden="false" customHeight="false" outlineLevel="0" collapsed="false">
      <c r="A10" s="6" t="s">
        <v>28</v>
      </c>
      <c r="B10" s="6" t="n">
        <f aca="false">ROUND(Ladder!$B$17,2)</f>
        <v>18</v>
      </c>
      <c r="C10" s="6" t="n">
        <f aca="false">-0*Ladder!$B$17</f>
        <v>-0</v>
      </c>
      <c r="D10" s="6" t="n">
        <f aca="false">-1*Ladder!$B$17</f>
        <v>-18</v>
      </c>
      <c r="E10" s="6" t="n">
        <f aca="false">-2*Ladder!$B$17</f>
        <v>-36</v>
      </c>
      <c r="F10" s="6" t="n">
        <f aca="false">-3*Ladder!$B$17</f>
        <v>-54</v>
      </c>
      <c r="G10" s="6" t="n">
        <f aca="false">-4*Ladder!$B$17</f>
        <v>-72</v>
      </c>
      <c r="H10" s="6" t="n">
        <f aca="false">COS(RADIANS(C10))</f>
        <v>1</v>
      </c>
      <c r="I10" s="6" t="n">
        <f aca="false">COS(RADIANS(D10))</f>
        <v>0.951056516295154</v>
      </c>
      <c r="J10" s="6" t="n">
        <f aca="false">COS(RADIANS(E10))</f>
        <v>0.809016994374947</v>
      </c>
      <c r="K10" s="6" t="n">
        <f aca="false">COS(RADIANS(F10))</f>
        <v>0.587785252292473</v>
      </c>
      <c r="L10" s="6" t="n">
        <f aca="false">COS(RADIANS(G10))</f>
        <v>0.309016994374947</v>
      </c>
      <c r="M10" s="6" t="n">
        <f aca="false">SIN(RADIANS(C10))</f>
        <v>-0</v>
      </c>
      <c r="N10" s="6" t="n">
        <f aca="false">SIN(RADIANS(D10))</f>
        <v>-0.309016994374947</v>
      </c>
      <c r="O10" s="6" t="n">
        <f aca="false">SIN(RADIANS(E10))</f>
        <v>-0.587785252292473</v>
      </c>
      <c r="P10" s="6" t="n">
        <f aca="false">SIN(RADIANS(F10))</f>
        <v>-0.809016994374948</v>
      </c>
      <c r="Q10" s="6" t="n">
        <f aca="false">SIN(RADIANS(G10))</f>
        <v>-0.951056516295154</v>
      </c>
      <c r="R10" s="6" t="n">
        <f aca="false">J10</f>
        <v>0.809016994374947</v>
      </c>
      <c r="S10" s="6" t="n">
        <f aca="false">O10</f>
        <v>-0.587785252292473</v>
      </c>
      <c r="T10" s="6" t="n">
        <f aca="false">K10</f>
        <v>0.587785252292473</v>
      </c>
      <c r="U10" s="6" t="n">
        <f aca="false">P10</f>
        <v>-0.809016994374948</v>
      </c>
      <c r="V10" s="6" t="n">
        <f aca="false">I10</f>
        <v>0.951056516295154</v>
      </c>
      <c r="W10" s="6" t="n">
        <f aca="false">N10</f>
        <v>-0.309016994374947</v>
      </c>
      <c r="X10" s="6" t="n">
        <f aca="false">H10</f>
        <v>1</v>
      </c>
      <c r="Y10" s="6" t="n">
        <f aca="false">M10</f>
        <v>-0</v>
      </c>
      <c r="Z10" s="6" t="n">
        <f aca="false">L10</f>
        <v>0.309016994374947</v>
      </c>
      <c r="AA10" s="6" t="n">
        <f aca="false">Q10</f>
        <v>-0.951056516295154</v>
      </c>
      <c r="AB10" s="6" t="n">
        <f aca="false">SQRT(R10^2+S10^2)</f>
        <v>1</v>
      </c>
      <c r="AC10" s="6" t="n">
        <f aca="false">SQRT(T10^2+U10^2)</f>
        <v>1</v>
      </c>
      <c r="AD10" s="6" t="n">
        <f aca="false">SQRT(V10^2+W10^2)</f>
        <v>1</v>
      </c>
      <c r="AE10" s="6" t="n">
        <f aca="false">SQRT(X10^2+Y10^2)</f>
        <v>1</v>
      </c>
      <c r="AF10" s="6" t="n">
        <f aca="false">SQRT(Z10^2+AA10^2)</f>
        <v>1</v>
      </c>
      <c r="AG10" s="6" t="n">
        <f aca="false">SUMSQ(AB10:AF10)</f>
        <v>5</v>
      </c>
      <c r="AH10" s="6" t="n">
        <f aca="false">R10/$B$13</f>
        <v>0.208887289734197</v>
      </c>
      <c r="AI10" s="6" t="n">
        <f aca="false">S10/$B$13</f>
        <v>-0.151765499551672</v>
      </c>
      <c r="AJ10" s="6" t="n">
        <f aca="false">T10/$B$13</f>
        <v>0.151765499551671</v>
      </c>
      <c r="AK10" s="6" t="n">
        <f aca="false">U10/$B$13</f>
        <v>-0.208887289734197</v>
      </c>
      <c r="AL10" s="6" t="n">
        <f aca="false">V10/$B$13</f>
        <v>0.245561736594212</v>
      </c>
      <c r="AM10" s="6" t="n">
        <f aca="false">W10/$B$13</f>
        <v>-0.0797878448606162</v>
      </c>
      <c r="AN10" s="6" t="n">
        <f aca="false">X10/$B$13</f>
        <v>0.258198889747161</v>
      </c>
      <c r="AO10" s="6" t="n">
        <f aca="false">Y10/$B$13</f>
        <v>-0</v>
      </c>
      <c r="AP10" s="6" t="n">
        <f aca="false">Z10/$B$13</f>
        <v>0.0797878448606161</v>
      </c>
      <c r="AQ10" s="6" t="n">
        <f aca="false">AA10/$B$13</f>
        <v>-0.245561736594212</v>
      </c>
    </row>
    <row r="12" customFormat="false" ht="15" hidden="false" customHeight="false" outlineLevel="0" collapsed="false">
      <c r="A12" s="1" t="s">
        <v>62</v>
      </c>
      <c r="B12" s="2" t="n">
        <f aca="false">SUM(AG8:AG10)</f>
        <v>15</v>
      </c>
    </row>
    <row r="13" customFormat="false" ht="15" hidden="false" customHeight="false" outlineLevel="0" collapsed="false">
      <c r="A13" s="1" t="s">
        <v>63</v>
      </c>
      <c r="B13" s="2" t="n">
        <f aca="false">SQRT(B12)</f>
        <v>3.87298334620742</v>
      </c>
    </row>
    <row r="14" customFormat="false" ht="15" hidden="false" customHeight="false" outlineLevel="0" collapsed="false">
      <c r="A14" s="1" t="s">
        <v>64</v>
      </c>
      <c r="B14" s="2" t="n">
        <f aca="false">SUMSQ(AH8:AQ10)</f>
        <v>1</v>
      </c>
    </row>
  </sheetData>
  <mergeCells count="6">
    <mergeCell ref="C5:G5"/>
    <mergeCell ref="H5:L5"/>
    <mergeCell ref="M5:Q5"/>
    <mergeCell ref="R5:AA5"/>
    <mergeCell ref="AB5:AF5"/>
    <mergeCell ref="AH5:AQ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8" min="3" style="0" width="9"/>
  </cols>
  <sheetData>
    <row r="1" customFormat="false" ht="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3" t="s">
        <v>35</v>
      </c>
    </row>
    <row r="5" customFormat="false" ht="15" hidden="false" customHeight="false" outlineLevel="0" collapsed="false">
      <c r="C5" s="7" t="s">
        <v>36</v>
      </c>
      <c r="D5" s="7"/>
      <c r="E5" s="7"/>
      <c r="F5" s="7"/>
      <c r="G5" s="7"/>
      <c r="H5" s="8" t="s">
        <v>37</v>
      </c>
      <c r="I5" s="8"/>
      <c r="J5" s="8"/>
      <c r="K5" s="8"/>
      <c r="L5" s="8"/>
      <c r="M5" s="8" t="s">
        <v>38</v>
      </c>
      <c r="N5" s="8"/>
      <c r="O5" s="8"/>
      <c r="P5" s="8"/>
      <c r="Q5" s="8"/>
      <c r="R5" s="9" t="s">
        <v>39</v>
      </c>
      <c r="S5" s="9"/>
      <c r="T5" s="9"/>
      <c r="U5" s="9"/>
      <c r="V5" s="9"/>
      <c r="W5" s="9"/>
      <c r="X5" s="9"/>
      <c r="Y5" s="9"/>
      <c r="Z5" s="10" t="s">
        <v>40</v>
      </c>
      <c r="AA5" s="10"/>
      <c r="AB5" s="10"/>
      <c r="AC5" s="10"/>
      <c r="AD5" s="11" t="s">
        <v>41</v>
      </c>
      <c r="AE5" s="12" t="s">
        <v>42</v>
      </c>
      <c r="AF5" s="12"/>
      <c r="AG5" s="12"/>
      <c r="AH5" s="12"/>
      <c r="AI5" s="12"/>
      <c r="AJ5" s="12"/>
      <c r="AK5" s="12"/>
      <c r="AL5" s="12"/>
    </row>
    <row r="6" customFormat="false" ht="15" hidden="false" customHeight="false" outlineLevel="0" collapsed="false">
      <c r="A6" s="1" t="s">
        <v>43</v>
      </c>
      <c r="B6" s="1" t="s">
        <v>44</v>
      </c>
      <c r="C6" s="13" t="s">
        <v>87</v>
      </c>
      <c r="D6" s="13" t="s">
        <v>88</v>
      </c>
      <c r="E6" s="13" t="s">
        <v>89</v>
      </c>
      <c r="F6" s="13" t="s">
        <v>90</v>
      </c>
      <c r="G6" s="13" t="s">
        <v>70</v>
      </c>
      <c r="H6" s="13" t="s">
        <v>87</v>
      </c>
      <c r="I6" s="13" t="s">
        <v>88</v>
      </c>
      <c r="J6" s="13" t="s">
        <v>89</v>
      </c>
      <c r="K6" s="13" t="s">
        <v>90</v>
      </c>
      <c r="L6" s="13" t="s">
        <v>70</v>
      </c>
      <c r="M6" s="13" t="s">
        <v>87</v>
      </c>
      <c r="N6" s="13" t="s">
        <v>88</v>
      </c>
      <c r="O6" s="13" t="s">
        <v>89</v>
      </c>
      <c r="P6" s="13" t="s">
        <v>90</v>
      </c>
      <c r="Q6" s="13" t="s">
        <v>70</v>
      </c>
      <c r="R6" s="14" t="s">
        <v>91</v>
      </c>
      <c r="S6" s="14" t="s">
        <v>92</v>
      </c>
      <c r="T6" s="13" t="s">
        <v>93</v>
      </c>
      <c r="U6" s="13" t="s">
        <v>94</v>
      </c>
      <c r="V6" s="13" t="s">
        <v>77</v>
      </c>
      <c r="W6" s="13" t="s">
        <v>78</v>
      </c>
      <c r="X6" s="13" t="s">
        <v>95</v>
      </c>
      <c r="Y6" s="13" t="s">
        <v>96</v>
      </c>
      <c r="Z6" s="14" t="s">
        <v>97</v>
      </c>
      <c r="AA6" s="13" t="s">
        <v>98</v>
      </c>
      <c r="AB6" s="13" t="s">
        <v>82</v>
      </c>
      <c r="AC6" s="13" t="s">
        <v>99</v>
      </c>
      <c r="AD6" s="1" t="s">
        <v>58</v>
      </c>
      <c r="AE6" s="14" t="s">
        <v>91</v>
      </c>
      <c r="AF6" s="14" t="s">
        <v>92</v>
      </c>
      <c r="AG6" s="13" t="s">
        <v>93</v>
      </c>
      <c r="AH6" s="13" t="s">
        <v>94</v>
      </c>
      <c r="AI6" s="13" t="s">
        <v>77</v>
      </c>
      <c r="AJ6" s="13" t="s">
        <v>78</v>
      </c>
      <c r="AK6" s="13" t="s">
        <v>95</v>
      </c>
      <c r="AL6" s="13" t="s">
        <v>96</v>
      </c>
    </row>
    <row r="7" customFormat="false" ht="15" hidden="false" customHeight="false" outlineLevel="0" collapsed="false">
      <c r="R7" s="15" t="s">
        <v>100</v>
      </c>
      <c r="T7" s="3" t="s">
        <v>60</v>
      </c>
      <c r="V7" s="3" t="s">
        <v>85</v>
      </c>
      <c r="X7" s="3" t="s">
        <v>84</v>
      </c>
    </row>
    <row r="8" customFormat="false" ht="15" hidden="false" customHeight="false" outlineLevel="0" collapsed="false">
      <c r="A8" s="6" t="s">
        <v>26</v>
      </c>
      <c r="B8" s="6" t="n">
        <f aca="false">ROUND(Ladder!$B$15,2)</f>
        <v>162</v>
      </c>
      <c r="C8" s="6" t="n">
        <f aca="false">-0*Ladder!$B$15</f>
        <v>-0</v>
      </c>
      <c r="D8" s="6" t="n">
        <f aca="false">-1*Ladder!$B$15</f>
        <v>-162</v>
      </c>
      <c r="E8" s="6" t="n">
        <f aca="false">-2*Ladder!$B$15</f>
        <v>-324</v>
      </c>
      <c r="F8" s="6" t="n">
        <f aca="false">-3*Ladder!$B$15</f>
        <v>-486</v>
      </c>
      <c r="G8" s="6" t="n">
        <f aca="false">-4*Ladder!$B$15</f>
        <v>-648</v>
      </c>
      <c r="H8" s="6" t="n">
        <f aca="false">COS(RADIANS(C8))</f>
        <v>1</v>
      </c>
      <c r="I8" s="6" t="n">
        <f aca="false">COS(RADIANS(D8))</f>
        <v>-0.951056516295154</v>
      </c>
      <c r="J8" s="6" t="n">
        <f aca="false">COS(RADIANS(E8))</f>
        <v>0.809016994374947</v>
      </c>
      <c r="K8" s="6" t="n">
        <f aca="false">COS(RADIANS(F8))</f>
        <v>-0.587785252292473</v>
      </c>
      <c r="L8" s="6" t="n">
        <f aca="false">COS(RADIANS(G8))</f>
        <v>0.309016994374947</v>
      </c>
      <c r="M8" s="6" t="n">
        <f aca="false">SIN(RADIANS(C8))</f>
        <v>-0</v>
      </c>
      <c r="N8" s="6" t="n">
        <f aca="false">SIN(RADIANS(D8))</f>
        <v>-0.309016994374948</v>
      </c>
      <c r="O8" s="6" t="n">
        <f aca="false">SIN(RADIANS(E8))</f>
        <v>0.587785252292473</v>
      </c>
      <c r="P8" s="6" t="n">
        <f aca="false">SIN(RADIANS(F8))</f>
        <v>-0.809016994374948</v>
      </c>
      <c r="Q8" s="6" t="n">
        <f aca="false">SIN(RADIANS(G8))</f>
        <v>0.951056516295154</v>
      </c>
      <c r="R8" s="16" t="n">
        <f aca="false">J8+K8</f>
        <v>0.221231742082474</v>
      </c>
      <c r="S8" s="16" t="n">
        <f aca="false">O8+P8</f>
        <v>-0.221231742082474</v>
      </c>
      <c r="T8" s="6" t="n">
        <f aca="false">H8</f>
        <v>1</v>
      </c>
      <c r="U8" s="6" t="n">
        <f aca="false">M8</f>
        <v>-0</v>
      </c>
      <c r="V8" s="6" t="n">
        <f aca="false">L8</f>
        <v>0.309016994374947</v>
      </c>
      <c r="W8" s="6" t="n">
        <f aca="false">Q8</f>
        <v>0.951056516295154</v>
      </c>
      <c r="X8" s="6" t="n">
        <f aca="false">I8</f>
        <v>-0.951056516295154</v>
      </c>
      <c r="Y8" s="6" t="n">
        <f aca="false">N8</f>
        <v>-0.309016994374948</v>
      </c>
      <c r="Z8" s="6" t="n">
        <f aca="false">SQRT(R8^2+S8^2)</f>
        <v>0.312868930080462</v>
      </c>
      <c r="AA8" s="6" t="n">
        <f aca="false">SQRT(T8^2+U8^2)</f>
        <v>1</v>
      </c>
      <c r="AB8" s="6" t="n">
        <f aca="false">SQRT(V8^2+W8^2)</f>
        <v>1</v>
      </c>
      <c r="AC8" s="6" t="n">
        <f aca="false">SQRT(X8^2+Y8^2)</f>
        <v>1</v>
      </c>
      <c r="AD8" s="6" t="n">
        <f aca="false">SUMSQ(Z8:AC8)</f>
        <v>3.09788696740969</v>
      </c>
      <c r="AE8" s="16" t="n">
        <f aca="false">R8/$B$13</f>
        <v>0.0550069589481136</v>
      </c>
      <c r="AF8" s="16" t="n">
        <f aca="false">S8/$B$13</f>
        <v>-0.0550069589481135</v>
      </c>
      <c r="AG8" s="6" t="n">
        <f aca="false">T8/$B$13</f>
        <v>0.248639541642298</v>
      </c>
      <c r="AH8" s="6" t="n">
        <f aca="false">U8/$B$13</f>
        <v>-0</v>
      </c>
      <c r="AI8" s="6" t="n">
        <f aca="false">V8/$B$13</f>
        <v>0.0768338438410674</v>
      </c>
      <c r="AJ8" s="6" t="n">
        <f aca="false">W8/$B$13</f>
        <v>0.236470256287548</v>
      </c>
      <c r="AK8" s="6" t="n">
        <f aca="false">X8/$B$13</f>
        <v>-0.236470256287548</v>
      </c>
      <c r="AL8" s="6" t="n">
        <f aca="false">Y8/$B$13</f>
        <v>-0.0768338438410676</v>
      </c>
    </row>
    <row r="9" customFormat="false" ht="15" hidden="false" customHeight="false" outlineLevel="0" collapsed="false">
      <c r="A9" s="6" t="s">
        <v>27</v>
      </c>
      <c r="B9" s="6" t="n">
        <f aca="false">ROUND(Ladder!$B$16,2)</f>
        <v>54</v>
      </c>
      <c r="C9" s="6" t="n">
        <f aca="false">-0*Ladder!$B$16</f>
        <v>-0</v>
      </c>
      <c r="D9" s="6" t="n">
        <f aca="false">-1*Ladder!$B$16</f>
        <v>-54</v>
      </c>
      <c r="E9" s="6" t="n">
        <f aca="false">-2*Ladder!$B$16</f>
        <v>-108</v>
      </c>
      <c r="F9" s="6" t="n">
        <f aca="false">-3*Ladder!$B$16</f>
        <v>-162</v>
      </c>
      <c r="G9" s="6" t="n">
        <f aca="false">-4*Ladder!$B$16</f>
        <v>-216</v>
      </c>
      <c r="H9" s="6" t="n">
        <f aca="false">COS(RADIANS(C9))</f>
        <v>1</v>
      </c>
      <c r="I9" s="6" t="n">
        <f aca="false">COS(RADIANS(D9))</f>
        <v>0.587785252292473</v>
      </c>
      <c r="J9" s="6" t="n">
        <f aca="false">COS(RADIANS(E9))</f>
        <v>-0.309016994374948</v>
      </c>
      <c r="K9" s="6" t="n">
        <f aca="false">COS(RADIANS(F9))</f>
        <v>-0.951056516295154</v>
      </c>
      <c r="L9" s="6" t="n">
        <f aca="false">COS(RADIANS(G9))</f>
        <v>-0.809016994374947</v>
      </c>
      <c r="M9" s="6" t="n">
        <f aca="false">SIN(RADIANS(C9))</f>
        <v>-0</v>
      </c>
      <c r="N9" s="6" t="n">
        <f aca="false">SIN(RADIANS(D9))</f>
        <v>-0.809016994374948</v>
      </c>
      <c r="O9" s="6" t="n">
        <f aca="false">SIN(RADIANS(E9))</f>
        <v>-0.951056516295154</v>
      </c>
      <c r="P9" s="6" t="n">
        <f aca="false">SIN(RADIANS(F9))</f>
        <v>-0.309016994374947</v>
      </c>
      <c r="Q9" s="6" t="n">
        <f aca="false">SIN(RADIANS(G9))</f>
        <v>0.587785252292473</v>
      </c>
      <c r="R9" s="16" t="n">
        <f aca="false">J9+K9</f>
        <v>-1.2600735106701</v>
      </c>
      <c r="S9" s="16" t="n">
        <f aca="false">O9+P9</f>
        <v>-1.2600735106701</v>
      </c>
      <c r="T9" s="6" t="n">
        <f aca="false">H9</f>
        <v>1</v>
      </c>
      <c r="U9" s="6" t="n">
        <f aca="false">M9</f>
        <v>-0</v>
      </c>
      <c r="V9" s="6" t="n">
        <f aca="false">L9</f>
        <v>-0.809016994374947</v>
      </c>
      <c r="W9" s="6" t="n">
        <f aca="false">Q9</f>
        <v>0.587785252292473</v>
      </c>
      <c r="X9" s="6" t="n">
        <f aca="false">I9</f>
        <v>0.587785252292473</v>
      </c>
      <c r="Y9" s="6" t="n">
        <f aca="false">N9</f>
        <v>-0.809016994374948</v>
      </c>
      <c r="Z9" s="6" t="n">
        <f aca="false">SQRT(R9^2+S9^2)</f>
        <v>1.78201304837674</v>
      </c>
      <c r="AA9" s="6" t="n">
        <f aca="false">SQRT(T9^2+U9^2)</f>
        <v>1</v>
      </c>
      <c r="AB9" s="6" t="n">
        <f aca="false">SQRT(V9^2+W9^2)</f>
        <v>1</v>
      </c>
      <c r="AC9" s="6" t="n">
        <f aca="false">SQRT(X9^2+Y9^2)</f>
        <v>1</v>
      </c>
      <c r="AD9" s="6" t="n">
        <f aca="false">SUMSQ(Z9:AC9)</f>
        <v>6.17557050458495</v>
      </c>
      <c r="AE9" s="16" t="n">
        <f aca="false">R9/$B$13</f>
        <v>-0.313304100128615</v>
      </c>
      <c r="AF9" s="16" t="n">
        <f aca="false">S9/$B$13</f>
        <v>-0.313304100128615</v>
      </c>
      <c r="AG9" s="6" t="n">
        <f aca="false">T9/$B$13</f>
        <v>0.248639541642298</v>
      </c>
      <c r="AH9" s="6" t="n">
        <f aca="false">U9/$B$13</f>
        <v>-0</v>
      </c>
      <c r="AI9" s="6" t="n">
        <f aca="false">V9/$B$13</f>
        <v>-0.201153614662217</v>
      </c>
      <c r="AJ9" s="6" t="n">
        <f aca="false">W9/$B$13</f>
        <v>0.146146655714103</v>
      </c>
      <c r="AK9" s="6" t="n">
        <f aca="false">X9/$B$13</f>
        <v>0.146146655714103</v>
      </c>
      <c r="AL9" s="6" t="n">
        <f aca="false">Y9/$B$13</f>
        <v>-0.201153614662217</v>
      </c>
    </row>
    <row r="10" customFormat="false" ht="15" hidden="false" customHeight="false" outlineLevel="0" collapsed="false">
      <c r="A10" s="6" t="s">
        <v>28</v>
      </c>
      <c r="B10" s="6" t="n">
        <f aca="false">ROUND(Ladder!$B$17,2)</f>
        <v>18</v>
      </c>
      <c r="C10" s="6" t="n">
        <f aca="false">-0*Ladder!$B$17</f>
        <v>-0</v>
      </c>
      <c r="D10" s="6" t="n">
        <f aca="false">-1*Ladder!$B$17</f>
        <v>-18</v>
      </c>
      <c r="E10" s="6" t="n">
        <f aca="false">-2*Ladder!$B$17</f>
        <v>-36</v>
      </c>
      <c r="F10" s="6" t="n">
        <f aca="false">-3*Ladder!$B$17</f>
        <v>-54</v>
      </c>
      <c r="G10" s="6" t="n">
        <f aca="false">-4*Ladder!$B$17</f>
        <v>-72</v>
      </c>
      <c r="H10" s="6" t="n">
        <f aca="false">COS(RADIANS(C10))</f>
        <v>1</v>
      </c>
      <c r="I10" s="6" t="n">
        <f aca="false">COS(RADIANS(D10))</f>
        <v>0.951056516295154</v>
      </c>
      <c r="J10" s="6" t="n">
        <f aca="false">COS(RADIANS(E10))</f>
        <v>0.809016994374947</v>
      </c>
      <c r="K10" s="6" t="n">
        <f aca="false">COS(RADIANS(F10))</f>
        <v>0.587785252292473</v>
      </c>
      <c r="L10" s="6" t="n">
        <f aca="false">COS(RADIANS(G10))</f>
        <v>0.309016994374947</v>
      </c>
      <c r="M10" s="6" t="n">
        <f aca="false">SIN(RADIANS(C10))</f>
        <v>-0</v>
      </c>
      <c r="N10" s="6" t="n">
        <f aca="false">SIN(RADIANS(D10))</f>
        <v>-0.309016994374947</v>
      </c>
      <c r="O10" s="6" t="n">
        <f aca="false">SIN(RADIANS(E10))</f>
        <v>-0.587785252292473</v>
      </c>
      <c r="P10" s="6" t="n">
        <f aca="false">SIN(RADIANS(F10))</f>
        <v>-0.809016994374948</v>
      </c>
      <c r="Q10" s="6" t="n">
        <f aca="false">SIN(RADIANS(G10))</f>
        <v>-0.951056516295154</v>
      </c>
      <c r="R10" s="16" t="n">
        <f aca="false">J10+K10</f>
        <v>1.39680224666742</v>
      </c>
      <c r="S10" s="16" t="n">
        <f aca="false">O10+P10</f>
        <v>-1.39680224666742</v>
      </c>
      <c r="T10" s="6" t="n">
        <f aca="false">H10</f>
        <v>1</v>
      </c>
      <c r="U10" s="6" t="n">
        <f aca="false">M10</f>
        <v>-0</v>
      </c>
      <c r="V10" s="6" t="n">
        <f aca="false">L10</f>
        <v>0.309016994374947</v>
      </c>
      <c r="W10" s="6" t="n">
        <f aca="false">Q10</f>
        <v>-0.951056516295154</v>
      </c>
      <c r="X10" s="6" t="n">
        <f aca="false">I10</f>
        <v>0.951056516295154</v>
      </c>
      <c r="Y10" s="6" t="n">
        <f aca="false">N10</f>
        <v>-0.309016994374947</v>
      </c>
      <c r="Z10" s="6" t="n">
        <f aca="false">SQRT(R10^2+S10^2)</f>
        <v>1.97537668119028</v>
      </c>
      <c r="AA10" s="6" t="n">
        <f aca="false">SQRT(T10^2+U10^2)</f>
        <v>1</v>
      </c>
      <c r="AB10" s="6" t="n">
        <f aca="false">SQRT(V10^2+W10^2)</f>
        <v>1</v>
      </c>
      <c r="AC10" s="6" t="n">
        <f aca="false">SQRT(X10^2+Y10^2)</f>
        <v>1</v>
      </c>
      <c r="AD10" s="6" t="n">
        <f aca="false">SUMSQ(Z10:AC10)</f>
        <v>6.90211303259031</v>
      </c>
      <c r="AE10" s="16" t="n">
        <f aca="false">R10/$B$13</f>
        <v>0.34730027037632</v>
      </c>
      <c r="AF10" s="16" t="n">
        <f aca="false">S10/$B$13</f>
        <v>-0.34730027037632</v>
      </c>
      <c r="AG10" s="6" t="n">
        <f aca="false">T10/$B$13</f>
        <v>0.248639541642298</v>
      </c>
      <c r="AH10" s="6" t="n">
        <f aca="false">U10/$B$13</f>
        <v>-0</v>
      </c>
      <c r="AI10" s="6" t="n">
        <f aca="false">V10/$B$13</f>
        <v>0.0768338438410675</v>
      </c>
      <c r="AJ10" s="6" t="n">
        <f aca="false">W10/$B$13</f>
        <v>-0.236470256287548</v>
      </c>
      <c r="AK10" s="6" t="n">
        <f aca="false">X10/$B$13</f>
        <v>0.236470256287548</v>
      </c>
      <c r="AL10" s="6" t="n">
        <f aca="false">Y10/$B$13</f>
        <v>-0.0768338438410675</v>
      </c>
    </row>
    <row r="12" customFormat="false" ht="15" hidden="false" customHeight="false" outlineLevel="0" collapsed="false">
      <c r="A12" s="1" t="s">
        <v>62</v>
      </c>
      <c r="B12" s="2" t="n">
        <f aca="false">SUM(AD8:AD10)</f>
        <v>16.1755705045849</v>
      </c>
    </row>
    <row r="13" customFormat="false" ht="15" hidden="false" customHeight="false" outlineLevel="0" collapsed="false">
      <c r="A13" s="1" t="s">
        <v>63</v>
      </c>
      <c r="B13" s="2" t="n">
        <f aca="false">SQRT(B12)</f>
        <v>4.02188643606268</v>
      </c>
    </row>
    <row r="14" customFormat="false" ht="15" hidden="false" customHeight="false" outlineLevel="0" collapsed="false">
      <c r="A14" s="1" t="s">
        <v>64</v>
      </c>
      <c r="B14" s="2" t="n">
        <f aca="false">SUMSQ(AE8:AL10)</f>
        <v>1</v>
      </c>
    </row>
  </sheetData>
  <mergeCells count="6">
    <mergeCell ref="C5:G5"/>
    <mergeCell ref="H5:L5"/>
    <mergeCell ref="M5:Q5"/>
    <mergeCell ref="R5:Y5"/>
    <mergeCell ref="Z5:AC5"/>
    <mergeCell ref="AE5:A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51" min="3" style="0" width="9"/>
  </cols>
  <sheetData>
    <row r="1" customFormat="false" ht="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3" t="s">
        <v>35</v>
      </c>
    </row>
    <row r="5" customFormat="false" ht="15" hidden="false" customHeight="false" outlineLevel="0" collapsed="false">
      <c r="C5" s="7" t="s">
        <v>36</v>
      </c>
      <c r="D5" s="7"/>
      <c r="E5" s="7"/>
      <c r="F5" s="7"/>
      <c r="G5" s="7"/>
      <c r="H5" s="7"/>
      <c r="I5" s="8" t="s">
        <v>37</v>
      </c>
      <c r="J5" s="8"/>
      <c r="K5" s="8"/>
      <c r="L5" s="8"/>
      <c r="M5" s="8"/>
      <c r="N5" s="8"/>
      <c r="O5" s="8" t="s">
        <v>38</v>
      </c>
      <c r="P5" s="8"/>
      <c r="Q5" s="8"/>
      <c r="R5" s="8"/>
      <c r="S5" s="8"/>
      <c r="T5" s="8"/>
      <c r="U5" s="9" t="s">
        <v>39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 t="s">
        <v>40</v>
      </c>
      <c r="AH5" s="10"/>
      <c r="AI5" s="10"/>
      <c r="AJ5" s="10"/>
      <c r="AK5" s="10"/>
      <c r="AL5" s="10"/>
      <c r="AM5" s="11" t="s">
        <v>41</v>
      </c>
      <c r="AN5" s="12" t="s">
        <v>42</v>
      </c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</row>
    <row r="6" customFormat="false" ht="15" hidden="false" customHeight="false" outlineLevel="0" collapsed="false">
      <c r="A6" s="1" t="s">
        <v>43</v>
      </c>
      <c r="B6" s="1" t="s">
        <v>44</v>
      </c>
      <c r="C6" s="13" t="s">
        <v>102</v>
      </c>
      <c r="D6" s="13" t="s">
        <v>103</v>
      </c>
      <c r="E6" s="13" t="s">
        <v>104</v>
      </c>
      <c r="F6" s="13" t="s">
        <v>105</v>
      </c>
      <c r="G6" s="13" t="s">
        <v>106</v>
      </c>
      <c r="H6" s="13" t="s">
        <v>107</v>
      </c>
      <c r="I6" s="13" t="s">
        <v>102</v>
      </c>
      <c r="J6" s="13" t="s">
        <v>103</v>
      </c>
      <c r="K6" s="13" t="s">
        <v>104</v>
      </c>
      <c r="L6" s="13" t="s">
        <v>105</v>
      </c>
      <c r="M6" s="13" t="s">
        <v>106</v>
      </c>
      <c r="N6" s="13" t="s">
        <v>107</v>
      </c>
      <c r="O6" s="13" t="s">
        <v>102</v>
      </c>
      <c r="P6" s="13" t="s">
        <v>103</v>
      </c>
      <c r="Q6" s="13" t="s">
        <v>104</v>
      </c>
      <c r="R6" s="13" t="s">
        <v>105</v>
      </c>
      <c r="S6" s="13" t="s">
        <v>106</v>
      </c>
      <c r="T6" s="13" t="s">
        <v>107</v>
      </c>
      <c r="U6" s="13" t="s">
        <v>108</v>
      </c>
      <c r="V6" s="13" t="s">
        <v>109</v>
      </c>
      <c r="W6" s="13" t="s">
        <v>91</v>
      </c>
      <c r="X6" s="13" t="s">
        <v>92</v>
      </c>
      <c r="Y6" s="13" t="s">
        <v>73</v>
      </c>
      <c r="Z6" s="13" t="s">
        <v>74</v>
      </c>
      <c r="AA6" s="13" t="s">
        <v>75</v>
      </c>
      <c r="AB6" s="13" t="s">
        <v>76</v>
      </c>
      <c r="AC6" s="13" t="s">
        <v>110</v>
      </c>
      <c r="AD6" s="13" t="s">
        <v>111</v>
      </c>
      <c r="AE6" s="13" t="s">
        <v>112</v>
      </c>
      <c r="AF6" s="13" t="s">
        <v>113</v>
      </c>
      <c r="AG6" s="13" t="s">
        <v>114</v>
      </c>
      <c r="AH6" s="13" t="s">
        <v>97</v>
      </c>
      <c r="AI6" s="13" t="s">
        <v>80</v>
      </c>
      <c r="AJ6" s="13" t="s">
        <v>81</v>
      </c>
      <c r="AK6" s="13" t="s">
        <v>115</v>
      </c>
      <c r="AL6" s="13" t="s">
        <v>116</v>
      </c>
      <c r="AM6" s="1" t="s">
        <v>58</v>
      </c>
      <c r="AN6" s="13" t="s">
        <v>108</v>
      </c>
      <c r="AO6" s="13" t="s">
        <v>109</v>
      </c>
      <c r="AP6" s="13" t="s">
        <v>91</v>
      </c>
      <c r="AQ6" s="13" t="s">
        <v>92</v>
      </c>
      <c r="AR6" s="13" t="s">
        <v>73</v>
      </c>
      <c r="AS6" s="13" t="s">
        <v>74</v>
      </c>
      <c r="AT6" s="13" t="s">
        <v>75</v>
      </c>
      <c r="AU6" s="13" t="s">
        <v>76</v>
      </c>
      <c r="AV6" s="13" t="s">
        <v>110</v>
      </c>
      <c r="AW6" s="13" t="s">
        <v>111</v>
      </c>
      <c r="AX6" s="13" t="s">
        <v>112</v>
      </c>
      <c r="AY6" s="13" t="s">
        <v>113</v>
      </c>
    </row>
    <row r="7" customFormat="false" ht="15" hidden="false" customHeight="false" outlineLevel="0" collapsed="false">
      <c r="U7" s="3" t="s">
        <v>85</v>
      </c>
      <c r="W7" s="3" t="s">
        <v>117</v>
      </c>
      <c r="Y7" s="3" t="s">
        <v>83</v>
      </c>
      <c r="AA7" s="3" t="s">
        <v>59</v>
      </c>
      <c r="AC7" s="3" t="s">
        <v>60</v>
      </c>
      <c r="AE7" s="3" t="s">
        <v>84</v>
      </c>
    </row>
    <row r="8" customFormat="false" ht="15" hidden="false" customHeight="false" outlineLevel="0" collapsed="false">
      <c r="A8" s="6" t="s">
        <v>26</v>
      </c>
      <c r="B8" s="6" t="n">
        <f aca="false">ROUND(Ladder!$B$15,2)</f>
        <v>162</v>
      </c>
      <c r="C8" s="6" t="n">
        <f aca="false">-0*Ladder!$B$15</f>
        <v>-0</v>
      </c>
      <c r="D8" s="6" t="n">
        <f aca="false">-1*Ladder!$B$15</f>
        <v>-162</v>
      </c>
      <c r="E8" s="6" t="n">
        <f aca="false">-2*Ladder!$B$15</f>
        <v>-324</v>
      </c>
      <c r="F8" s="6" t="n">
        <f aca="false">-3*Ladder!$B$15</f>
        <v>-486</v>
      </c>
      <c r="G8" s="6" t="n">
        <f aca="false">-4*Ladder!$B$15</f>
        <v>-648</v>
      </c>
      <c r="H8" s="6" t="n">
        <f aca="false">-5*Ladder!$B$15</f>
        <v>-810</v>
      </c>
      <c r="I8" s="6" t="n">
        <f aca="false">COS(RADIANS(C8))</f>
        <v>1</v>
      </c>
      <c r="J8" s="6" t="n">
        <f aca="false">COS(RADIANS(D8))</f>
        <v>-0.951056516295154</v>
      </c>
      <c r="K8" s="6" t="n">
        <f aca="false">COS(RADIANS(E8))</f>
        <v>0.809016994374947</v>
      </c>
      <c r="L8" s="6" t="n">
        <f aca="false">COS(RADIANS(F8))</f>
        <v>-0.587785252292473</v>
      </c>
      <c r="M8" s="6" t="n">
        <f aca="false">COS(RADIANS(G8))</f>
        <v>0.309016994374947</v>
      </c>
      <c r="N8" s="6" t="n">
        <f aca="false">COS(RADIANS(H8))</f>
        <v>5.51091059616309E-016</v>
      </c>
      <c r="O8" s="6" t="n">
        <f aca="false">SIN(RADIANS(C8))</f>
        <v>-0</v>
      </c>
      <c r="P8" s="6" t="n">
        <f aca="false">SIN(RADIANS(D8))</f>
        <v>-0.309016994374948</v>
      </c>
      <c r="Q8" s="6" t="n">
        <f aca="false">SIN(RADIANS(E8))</f>
        <v>0.587785252292473</v>
      </c>
      <c r="R8" s="6" t="n">
        <f aca="false">SIN(RADIANS(F8))</f>
        <v>-0.809016994374948</v>
      </c>
      <c r="S8" s="6" t="n">
        <f aca="false">SIN(RADIANS(G8))</f>
        <v>0.951056516295154</v>
      </c>
      <c r="T8" s="6" t="n">
        <f aca="false">SIN(RADIANS(H8))</f>
        <v>-1</v>
      </c>
      <c r="U8" s="6" t="n">
        <f aca="false">M8</f>
        <v>0.309016994374947</v>
      </c>
      <c r="V8" s="6" t="n">
        <f aca="false">S8</f>
        <v>0.951056516295154</v>
      </c>
      <c r="W8" s="6" t="n">
        <f aca="false">N8</f>
        <v>5.51091059616309E-016</v>
      </c>
      <c r="X8" s="6" t="n">
        <f aca="false">T8</f>
        <v>-1</v>
      </c>
      <c r="Y8" s="6" t="n">
        <f aca="false">K8</f>
        <v>0.809016994374947</v>
      </c>
      <c r="Z8" s="6" t="n">
        <f aca="false">Q8</f>
        <v>0.587785252292473</v>
      </c>
      <c r="AA8" s="6" t="n">
        <f aca="false">L8</f>
        <v>-0.587785252292473</v>
      </c>
      <c r="AB8" s="6" t="n">
        <f aca="false">R8</f>
        <v>-0.809016994374948</v>
      </c>
      <c r="AC8" s="6" t="n">
        <f aca="false">I8</f>
        <v>1</v>
      </c>
      <c r="AD8" s="6" t="n">
        <f aca="false">O8</f>
        <v>-0</v>
      </c>
      <c r="AE8" s="6" t="n">
        <f aca="false">J8</f>
        <v>-0.951056516295154</v>
      </c>
      <c r="AF8" s="6" t="n">
        <f aca="false">P8</f>
        <v>-0.309016994374948</v>
      </c>
      <c r="AG8" s="6" t="n">
        <f aca="false">SQRT(U8^2+V8^2)</f>
        <v>1</v>
      </c>
      <c r="AH8" s="6" t="n">
        <f aca="false">SQRT(W8^2+X8^2)</f>
        <v>1</v>
      </c>
      <c r="AI8" s="6" t="n">
        <f aca="false">SQRT(Y8^2+Z8^2)</f>
        <v>1</v>
      </c>
      <c r="AJ8" s="6" t="n">
        <f aca="false">SQRT(AA8^2+AB8^2)</f>
        <v>1</v>
      </c>
      <c r="AK8" s="6" t="n">
        <f aca="false">SQRT(AC8^2+AD8^2)</f>
        <v>1</v>
      </c>
      <c r="AL8" s="6" t="n">
        <f aca="false">SQRT(AE8^2+AF8^2)</f>
        <v>1</v>
      </c>
      <c r="AM8" s="6" t="n">
        <f aca="false">SUMSQ(AG8:AL8)</f>
        <v>6</v>
      </c>
      <c r="AN8" s="6" t="n">
        <f aca="false">U8/$B$13</f>
        <v>0.0728360040748034</v>
      </c>
      <c r="AO8" s="6" t="n">
        <f aca="false">V8/$B$13</f>
        <v>0.224166170654653</v>
      </c>
      <c r="AP8" s="6" t="n">
        <f aca="false">W8/$B$13</f>
        <v>1.29893408435324E-016</v>
      </c>
      <c r="AQ8" s="6" t="n">
        <f aca="false">X8/$B$13</f>
        <v>-0.235702260395516</v>
      </c>
      <c r="AR8" s="6" t="n">
        <f aca="false">Y8/$B$13</f>
        <v>0.190687134272561</v>
      </c>
      <c r="AS8" s="6" t="n">
        <f aca="false">Z8/$B$13</f>
        <v>0.138542312592485</v>
      </c>
      <c r="AT8" s="6" t="n">
        <f aca="false">AA8/$B$13</f>
        <v>-0.138542312592484</v>
      </c>
      <c r="AU8" s="6" t="n">
        <f aca="false">AB8/$B$13</f>
        <v>-0.190687134272562</v>
      </c>
      <c r="AV8" s="6" t="n">
        <f aca="false">AC8/$B$13</f>
        <v>0.235702260395516</v>
      </c>
      <c r="AW8" s="6" t="n">
        <f aca="false">AD8/$B$13</f>
        <v>-0</v>
      </c>
      <c r="AX8" s="6" t="n">
        <f aca="false">AE8/$B$13</f>
        <v>-0.224166170654652</v>
      </c>
      <c r="AY8" s="6" t="n">
        <f aca="false">AF8/$B$13</f>
        <v>-0.0728360040748035</v>
      </c>
    </row>
    <row r="9" customFormat="false" ht="15" hidden="false" customHeight="false" outlineLevel="0" collapsed="false">
      <c r="A9" s="6" t="s">
        <v>27</v>
      </c>
      <c r="B9" s="6" t="n">
        <f aca="false">ROUND(Ladder!$B$16,2)</f>
        <v>54</v>
      </c>
      <c r="C9" s="6" t="n">
        <f aca="false">-0*Ladder!$B$16</f>
        <v>-0</v>
      </c>
      <c r="D9" s="6" t="n">
        <f aca="false">-1*Ladder!$B$16</f>
        <v>-54</v>
      </c>
      <c r="E9" s="6" t="n">
        <f aca="false">-2*Ladder!$B$16</f>
        <v>-108</v>
      </c>
      <c r="F9" s="6" t="n">
        <f aca="false">-3*Ladder!$B$16</f>
        <v>-162</v>
      </c>
      <c r="G9" s="6" t="n">
        <f aca="false">-4*Ladder!$B$16</f>
        <v>-216</v>
      </c>
      <c r="H9" s="6" t="n">
        <f aca="false">-5*Ladder!$B$16</f>
        <v>-270</v>
      </c>
      <c r="I9" s="6" t="n">
        <f aca="false">COS(RADIANS(C9))</f>
        <v>1</v>
      </c>
      <c r="J9" s="6" t="n">
        <f aca="false">COS(RADIANS(D9))</f>
        <v>0.587785252292473</v>
      </c>
      <c r="K9" s="6" t="n">
        <f aca="false">COS(RADIANS(E9))</f>
        <v>-0.309016994374948</v>
      </c>
      <c r="L9" s="6" t="n">
        <f aca="false">COS(RADIANS(F9))</f>
        <v>-0.951056516295154</v>
      </c>
      <c r="M9" s="6" t="n">
        <f aca="false">COS(RADIANS(G9))</f>
        <v>-0.809016994374947</v>
      </c>
      <c r="N9" s="6" t="n">
        <f aca="false">COS(RADIANS(H9))</f>
        <v>7.04481399828022E-016</v>
      </c>
      <c r="O9" s="6" t="n">
        <f aca="false">SIN(RADIANS(C9))</f>
        <v>-0</v>
      </c>
      <c r="P9" s="6" t="n">
        <f aca="false">SIN(RADIANS(D9))</f>
        <v>-0.809016994374948</v>
      </c>
      <c r="Q9" s="6" t="n">
        <f aca="false">SIN(RADIANS(E9))</f>
        <v>-0.951056516295154</v>
      </c>
      <c r="R9" s="6" t="n">
        <f aca="false">SIN(RADIANS(F9))</f>
        <v>-0.309016994374947</v>
      </c>
      <c r="S9" s="6" t="n">
        <f aca="false">SIN(RADIANS(G9))</f>
        <v>0.587785252292473</v>
      </c>
      <c r="T9" s="6" t="n">
        <f aca="false">SIN(RADIANS(H9))</f>
        <v>1</v>
      </c>
      <c r="U9" s="6" t="n">
        <f aca="false">M9</f>
        <v>-0.809016994374947</v>
      </c>
      <c r="V9" s="6" t="n">
        <f aca="false">S9</f>
        <v>0.587785252292473</v>
      </c>
      <c r="W9" s="6" t="n">
        <f aca="false">N9</f>
        <v>7.04481399828022E-016</v>
      </c>
      <c r="X9" s="6" t="n">
        <f aca="false">T9</f>
        <v>1</v>
      </c>
      <c r="Y9" s="6" t="n">
        <f aca="false">K9</f>
        <v>-0.309016994374948</v>
      </c>
      <c r="Z9" s="6" t="n">
        <f aca="false">Q9</f>
        <v>-0.951056516295154</v>
      </c>
      <c r="AA9" s="6" t="n">
        <f aca="false">L9</f>
        <v>-0.951056516295154</v>
      </c>
      <c r="AB9" s="6" t="n">
        <f aca="false">R9</f>
        <v>-0.309016994374947</v>
      </c>
      <c r="AC9" s="6" t="n">
        <f aca="false">I9</f>
        <v>1</v>
      </c>
      <c r="AD9" s="6" t="n">
        <f aca="false">O9</f>
        <v>-0</v>
      </c>
      <c r="AE9" s="6" t="n">
        <f aca="false">J9</f>
        <v>0.587785252292473</v>
      </c>
      <c r="AF9" s="6" t="n">
        <f aca="false">P9</f>
        <v>-0.809016994374948</v>
      </c>
      <c r="AG9" s="6" t="n">
        <f aca="false">SQRT(U9^2+V9^2)</f>
        <v>1</v>
      </c>
      <c r="AH9" s="6" t="n">
        <f aca="false">SQRT(W9^2+X9^2)</f>
        <v>1</v>
      </c>
      <c r="AI9" s="6" t="n">
        <f aca="false">SQRT(Y9^2+Z9^2)</f>
        <v>1</v>
      </c>
      <c r="AJ9" s="6" t="n">
        <f aca="false">SQRT(AA9^2+AB9^2)</f>
        <v>1</v>
      </c>
      <c r="AK9" s="6" t="n">
        <f aca="false">SQRT(AC9^2+AD9^2)</f>
        <v>1</v>
      </c>
      <c r="AL9" s="6" t="n">
        <f aca="false">SQRT(AE9^2+AF9^2)</f>
        <v>1</v>
      </c>
      <c r="AM9" s="6" t="n">
        <f aca="false">SUMSQ(AG9:AL9)</f>
        <v>6</v>
      </c>
      <c r="AN9" s="6" t="n">
        <f aca="false">U9/$B$13</f>
        <v>-0.190687134272561</v>
      </c>
      <c r="AO9" s="6" t="n">
        <f aca="false">V9/$B$13</f>
        <v>0.138542312592485</v>
      </c>
      <c r="AP9" s="6" t="n">
        <f aca="false">W9/$B$13</f>
        <v>1.66047858346062E-016</v>
      </c>
      <c r="AQ9" s="6" t="n">
        <f aca="false">X9/$B$13</f>
        <v>0.235702260395516</v>
      </c>
      <c r="AR9" s="6" t="n">
        <f aca="false">Y9/$B$13</f>
        <v>-0.0728360040748036</v>
      </c>
      <c r="AS9" s="6" t="n">
        <f aca="false">Z9/$B$13</f>
        <v>-0.224166170654652</v>
      </c>
      <c r="AT9" s="6" t="n">
        <f aca="false">AA9/$B$13</f>
        <v>-0.224166170654652</v>
      </c>
      <c r="AU9" s="6" t="n">
        <f aca="false">AB9/$B$13</f>
        <v>-0.0728360040748035</v>
      </c>
      <c r="AV9" s="6" t="n">
        <f aca="false">AC9/$B$13</f>
        <v>0.235702260395516</v>
      </c>
      <c r="AW9" s="6" t="n">
        <f aca="false">AD9/$B$13</f>
        <v>-0</v>
      </c>
      <c r="AX9" s="6" t="n">
        <f aca="false">AE9/$B$13</f>
        <v>0.138542312592484</v>
      </c>
      <c r="AY9" s="6" t="n">
        <f aca="false">AF9/$B$13</f>
        <v>-0.190687134272561</v>
      </c>
    </row>
    <row r="10" customFormat="false" ht="15" hidden="false" customHeight="false" outlineLevel="0" collapsed="false">
      <c r="A10" s="6" t="s">
        <v>28</v>
      </c>
      <c r="B10" s="6" t="n">
        <f aca="false">ROUND(Ladder!$B$17,2)</f>
        <v>18</v>
      </c>
      <c r="C10" s="6" t="n">
        <f aca="false">-0*Ladder!$B$17</f>
        <v>-0</v>
      </c>
      <c r="D10" s="6" t="n">
        <f aca="false">-1*Ladder!$B$17</f>
        <v>-18</v>
      </c>
      <c r="E10" s="6" t="n">
        <f aca="false">-2*Ladder!$B$17</f>
        <v>-36</v>
      </c>
      <c r="F10" s="6" t="n">
        <f aca="false">-3*Ladder!$B$17</f>
        <v>-54</v>
      </c>
      <c r="G10" s="6" t="n">
        <f aca="false">-4*Ladder!$B$17</f>
        <v>-72</v>
      </c>
      <c r="H10" s="6" t="n">
        <f aca="false">-5*Ladder!$B$17</f>
        <v>-90</v>
      </c>
      <c r="I10" s="6" t="n">
        <f aca="false">COS(RADIANS(C10))</f>
        <v>1</v>
      </c>
      <c r="J10" s="6" t="n">
        <f aca="false">COS(RADIANS(D10))</f>
        <v>0.951056516295154</v>
      </c>
      <c r="K10" s="6" t="n">
        <f aca="false">COS(RADIANS(E10))</f>
        <v>0.809016994374947</v>
      </c>
      <c r="L10" s="6" t="n">
        <f aca="false">COS(RADIANS(F10))</f>
        <v>0.587785252292473</v>
      </c>
      <c r="M10" s="6" t="n">
        <f aca="false">COS(RADIANS(G10))</f>
        <v>0.309016994374947</v>
      </c>
      <c r="N10" s="6" t="n">
        <f aca="false">COS(RADIANS(H10))</f>
        <v>-3.82856869892695E-016</v>
      </c>
      <c r="O10" s="6" t="n">
        <f aca="false">SIN(RADIANS(C10))</f>
        <v>-0</v>
      </c>
      <c r="P10" s="6" t="n">
        <f aca="false">SIN(RADIANS(D10))</f>
        <v>-0.309016994374947</v>
      </c>
      <c r="Q10" s="6" t="n">
        <f aca="false">SIN(RADIANS(E10))</f>
        <v>-0.587785252292473</v>
      </c>
      <c r="R10" s="6" t="n">
        <f aca="false">SIN(RADIANS(F10))</f>
        <v>-0.809016994374948</v>
      </c>
      <c r="S10" s="6" t="n">
        <f aca="false">SIN(RADIANS(G10))</f>
        <v>-0.951056516295154</v>
      </c>
      <c r="T10" s="6" t="n">
        <f aca="false">SIN(RADIANS(H10))</f>
        <v>-1</v>
      </c>
      <c r="U10" s="6" t="n">
        <f aca="false">M10</f>
        <v>0.309016994374947</v>
      </c>
      <c r="V10" s="6" t="n">
        <f aca="false">S10</f>
        <v>-0.951056516295154</v>
      </c>
      <c r="W10" s="6" t="n">
        <f aca="false">N10</f>
        <v>-3.82856869892695E-016</v>
      </c>
      <c r="X10" s="6" t="n">
        <f aca="false">T10</f>
        <v>-1</v>
      </c>
      <c r="Y10" s="6" t="n">
        <f aca="false">K10</f>
        <v>0.809016994374947</v>
      </c>
      <c r="Z10" s="6" t="n">
        <f aca="false">Q10</f>
        <v>-0.587785252292473</v>
      </c>
      <c r="AA10" s="6" t="n">
        <f aca="false">L10</f>
        <v>0.587785252292473</v>
      </c>
      <c r="AB10" s="6" t="n">
        <f aca="false">R10</f>
        <v>-0.809016994374948</v>
      </c>
      <c r="AC10" s="6" t="n">
        <f aca="false">I10</f>
        <v>1</v>
      </c>
      <c r="AD10" s="6" t="n">
        <f aca="false">O10</f>
        <v>-0</v>
      </c>
      <c r="AE10" s="6" t="n">
        <f aca="false">J10</f>
        <v>0.951056516295154</v>
      </c>
      <c r="AF10" s="6" t="n">
        <f aca="false">P10</f>
        <v>-0.309016994374947</v>
      </c>
      <c r="AG10" s="6" t="n">
        <f aca="false">SQRT(U10^2+V10^2)</f>
        <v>1</v>
      </c>
      <c r="AH10" s="6" t="n">
        <f aca="false">SQRT(W10^2+X10^2)</f>
        <v>1</v>
      </c>
      <c r="AI10" s="6" t="n">
        <f aca="false">SQRT(Y10^2+Z10^2)</f>
        <v>1</v>
      </c>
      <c r="AJ10" s="6" t="n">
        <f aca="false">SQRT(AA10^2+AB10^2)</f>
        <v>1</v>
      </c>
      <c r="AK10" s="6" t="n">
        <f aca="false">SQRT(AC10^2+AD10^2)</f>
        <v>1</v>
      </c>
      <c r="AL10" s="6" t="n">
        <f aca="false">SQRT(AE10^2+AF10^2)</f>
        <v>1</v>
      </c>
      <c r="AM10" s="6" t="n">
        <f aca="false">SUMSQ(AG10:AL10)</f>
        <v>6</v>
      </c>
      <c r="AN10" s="6" t="n">
        <f aca="false">U10/$B$13</f>
        <v>0.0728360040748035</v>
      </c>
      <c r="AO10" s="6" t="n">
        <f aca="false">V10/$B$13</f>
        <v>-0.224166170654652</v>
      </c>
      <c r="AP10" s="6" t="n">
        <f aca="false">W10/$B$13</f>
        <v>-9.02402296416601E-017</v>
      </c>
      <c r="AQ10" s="6" t="n">
        <f aca="false">X10/$B$13</f>
        <v>-0.235702260395516</v>
      </c>
      <c r="AR10" s="6" t="n">
        <f aca="false">Y10/$B$13</f>
        <v>0.190687134272561</v>
      </c>
      <c r="AS10" s="6" t="n">
        <f aca="false">Z10/$B$13</f>
        <v>-0.138542312592485</v>
      </c>
      <c r="AT10" s="6" t="n">
        <f aca="false">AA10/$B$13</f>
        <v>0.138542312592484</v>
      </c>
      <c r="AU10" s="6" t="n">
        <f aca="false">AB10/$B$13</f>
        <v>-0.190687134272561</v>
      </c>
      <c r="AV10" s="6" t="n">
        <f aca="false">AC10/$B$13</f>
        <v>0.235702260395516</v>
      </c>
      <c r="AW10" s="6" t="n">
        <f aca="false">AD10/$B$13</f>
        <v>-0</v>
      </c>
      <c r="AX10" s="6" t="n">
        <f aca="false">AE10/$B$13</f>
        <v>0.224166170654652</v>
      </c>
      <c r="AY10" s="6" t="n">
        <f aca="false">AF10/$B$13</f>
        <v>-0.0728360040748035</v>
      </c>
    </row>
    <row r="12" customFormat="false" ht="15" hidden="false" customHeight="false" outlineLevel="0" collapsed="false">
      <c r="A12" s="1" t="s">
        <v>62</v>
      </c>
      <c r="B12" s="2" t="n">
        <f aca="false">SUM(AM8:AM10)</f>
        <v>18</v>
      </c>
    </row>
    <row r="13" customFormat="false" ht="15" hidden="false" customHeight="false" outlineLevel="0" collapsed="false">
      <c r="A13" s="1" t="s">
        <v>63</v>
      </c>
      <c r="B13" s="2" t="n">
        <f aca="false">SQRT(B12)</f>
        <v>4.24264068711929</v>
      </c>
    </row>
    <row r="14" customFormat="false" ht="15" hidden="false" customHeight="false" outlineLevel="0" collapsed="false">
      <c r="A14" s="1" t="s">
        <v>64</v>
      </c>
      <c r="B14" s="2" t="n">
        <f aca="false">SUMSQ(AN8:AY10)</f>
        <v>1</v>
      </c>
    </row>
  </sheetData>
  <mergeCells count="6">
    <mergeCell ref="C5:H5"/>
    <mergeCell ref="I5:N5"/>
    <mergeCell ref="O5:T5"/>
    <mergeCell ref="U5:AF5"/>
    <mergeCell ref="AG5:AL5"/>
    <mergeCell ref="AN5:AY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4" min="2" style="0" width="10"/>
  </cols>
  <sheetData>
    <row r="1" customFormat="false" ht="1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3" t="s">
        <v>119</v>
      </c>
    </row>
    <row r="4" customFormat="false" ht="15" hidden="false" customHeight="false" outlineLevel="0" collapsed="false">
      <c r="A4" s="17" t="s">
        <v>120</v>
      </c>
      <c r="B4" s="17" t="s">
        <v>121</v>
      </c>
      <c r="C4" s="17" t="s">
        <v>122</v>
      </c>
      <c r="D4" s="17" t="s">
        <v>123</v>
      </c>
      <c r="E4" s="17" t="s">
        <v>124</v>
      </c>
      <c r="F4" s="17"/>
      <c r="G4" s="17" t="s">
        <v>125</v>
      </c>
      <c r="H4" s="17" t="s">
        <v>126</v>
      </c>
      <c r="I4" s="17" t="s">
        <v>127</v>
      </c>
      <c r="J4" s="17" t="s">
        <v>128</v>
      </c>
      <c r="K4" s="17" t="s">
        <v>129</v>
      </c>
      <c r="L4" s="17" t="s">
        <v>130</v>
      </c>
      <c r="M4" s="17" t="s">
        <v>131</v>
      </c>
      <c r="N4" s="17" t="s">
        <v>132</v>
      </c>
    </row>
    <row r="5" customFormat="false" ht="15" hidden="false" customHeight="false" outlineLevel="0" collapsed="false">
      <c r="A5" s="6" t="s">
        <v>133</v>
      </c>
      <c r="B5" s="6" t="n">
        <v>0</v>
      </c>
      <c r="C5" s="6" t="n">
        <v>0</v>
      </c>
      <c r="D5" s="6" t="n">
        <v>0</v>
      </c>
      <c r="E5" s="6" t="n">
        <f aca="false">prince!AN8</f>
        <v>0.0728360040748034</v>
      </c>
      <c r="F5" s="18"/>
      <c r="G5" s="19" t="n">
        <v>0.035</v>
      </c>
      <c r="H5" s="19" t="n">
        <v>-0.118</v>
      </c>
      <c r="I5" s="19" t="n">
        <v>0.085</v>
      </c>
      <c r="J5" s="19" t="n">
        <v>0.106</v>
      </c>
      <c r="K5" s="19" t="n">
        <v>-0.221</v>
      </c>
      <c r="L5" s="19" t="n">
        <v>-0.147</v>
      </c>
      <c r="M5" s="19" t="n">
        <v>0.014</v>
      </c>
      <c r="N5" s="19" t="n">
        <v>-0.036</v>
      </c>
    </row>
    <row r="6" customFormat="false" ht="15" hidden="false" customHeight="false" outlineLevel="0" collapsed="false">
      <c r="A6" s="6" t="s">
        <v>134</v>
      </c>
      <c r="B6" s="6" t="n">
        <v>0</v>
      </c>
      <c r="C6" s="6" t="n">
        <v>0</v>
      </c>
      <c r="D6" s="6" t="n">
        <v>0</v>
      </c>
      <c r="E6" s="6" t="n">
        <f aca="false">prince!AO8</f>
        <v>0.224166170654653</v>
      </c>
      <c r="F6" s="18"/>
      <c r="G6" s="19" t="n">
        <v>-0.002</v>
      </c>
      <c r="H6" s="19" t="n">
        <v>-0.097</v>
      </c>
      <c r="I6" s="19" t="n">
        <v>0.1</v>
      </c>
      <c r="J6" s="19" t="n">
        <v>0.088</v>
      </c>
      <c r="K6" s="19" t="n">
        <v>0.007</v>
      </c>
      <c r="L6" s="19" t="n">
        <v>0.128</v>
      </c>
      <c r="M6" s="19" t="n">
        <v>0.053</v>
      </c>
      <c r="N6" s="19" t="n">
        <v>-0.097</v>
      </c>
    </row>
    <row r="7" customFormat="false" ht="15" hidden="false" customHeight="false" outlineLevel="0" collapsed="false">
      <c r="A7" s="6" t="s">
        <v>135</v>
      </c>
      <c r="B7" s="6" t="n">
        <v>0</v>
      </c>
      <c r="C7" s="6" t="n">
        <v>0</v>
      </c>
      <c r="D7" s="6" t="n">
        <v>0</v>
      </c>
      <c r="E7" s="6" t="n">
        <f aca="false">prince!AN9</f>
        <v>-0.190687134272561</v>
      </c>
      <c r="F7" s="18"/>
      <c r="G7" s="19" t="n">
        <v>0.042</v>
      </c>
      <c r="H7" s="19" t="n">
        <v>-0.109</v>
      </c>
      <c r="I7" s="19" t="n">
        <v>0.099</v>
      </c>
      <c r="J7" s="19" t="n">
        <v>-0.006</v>
      </c>
      <c r="K7" s="19" t="n">
        <v>-0.021</v>
      </c>
      <c r="L7" s="19" t="n">
        <v>-0.077</v>
      </c>
      <c r="M7" s="19" t="n">
        <v>0.138</v>
      </c>
      <c r="N7" s="19" t="n">
        <v>-0.017</v>
      </c>
    </row>
    <row r="8" customFormat="false" ht="15" hidden="false" customHeight="false" outlineLevel="0" collapsed="false">
      <c r="A8" s="6" t="s">
        <v>136</v>
      </c>
      <c r="B8" s="6" t="n">
        <v>0</v>
      </c>
      <c r="C8" s="6" t="n">
        <v>0</v>
      </c>
      <c r="D8" s="6" t="n">
        <v>0</v>
      </c>
      <c r="E8" s="6" t="n">
        <f aca="false">prince!AO9</f>
        <v>0.138542312592485</v>
      </c>
      <c r="F8" s="18"/>
      <c r="G8" s="19" t="n">
        <v>-0.048</v>
      </c>
      <c r="H8" s="19" t="n">
        <v>-0.04</v>
      </c>
      <c r="I8" s="19" t="n">
        <v>0.06</v>
      </c>
      <c r="J8" s="19" t="n">
        <v>0.041</v>
      </c>
      <c r="K8" s="19" t="n">
        <v>0.047</v>
      </c>
      <c r="L8" s="19" t="n">
        <v>0.049</v>
      </c>
      <c r="M8" s="19" t="n">
        <v>0.242</v>
      </c>
      <c r="N8" s="19" t="n">
        <v>-0.046</v>
      </c>
    </row>
    <row r="9" customFormat="false" ht="15" hidden="false" customHeight="false" outlineLevel="0" collapsed="false">
      <c r="A9" s="6" t="s">
        <v>137</v>
      </c>
      <c r="B9" s="6" t="n">
        <v>0</v>
      </c>
      <c r="C9" s="6" t="n">
        <v>0</v>
      </c>
      <c r="D9" s="6" t="n">
        <v>0</v>
      </c>
      <c r="E9" s="6" t="n">
        <f aca="false">prince!AN10</f>
        <v>0.0728360040748035</v>
      </c>
      <c r="F9" s="18"/>
      <c r="G9" s="19" t="n">
        <v>-0.058</v>
      </c>
      <c r="H9" s="19" t="n">
        <v>-0.092</v>
      </c>
      <c r="I9" s="19" t="n">
        <v>0.07</v>
      </c>
      <c r="J9" s="19" t="n">
        <v>0.128</v>
      </c>
      <c r="K9" s="19" t="n">
        <v>-0.013</v>
      </c>
      <c r="L9" s="19" t="n">
        <v>-0.095</v>
      </c>
      <c r="M9" s="19" t="n">
        <v>-0.093</v>
      </c>
      <c r="N9" s="19" t="n">
        <v>0.074</v>
      </c>
    </row>
    <row r="10" customFormat="false" ht="15" hidden="false" customHeight="false" outlineLevel="0" collapsed="false">
      <c r="A10" s="6" t="s">
        <v>138</v>
      </c>
      <c r="B10" s="6" t="n">
        <v>0</v>
      </c>
      <c r="C10" s="6" t="n">
        <v>0</v>
      </c>
      <c r="D10" s="6" t="n">
        <v>0</v>
      </c>
      <c r="E10" s="6" t="n">
        <f aca="false">prince!AO10</f>
        <v>-0.224166170654652</v>
      </c>
      <c r="F10" s="18"/>
      <c r="G10" s="19" t="n">
        <v>0.084</v>
      </c>
      <c r="H10" s="19" t="n">
        <v>0.062</v>
      </c>
      <c r="I10" s="19" t="n">
        <v>-0.075</v>
      </c>
      <c r="J10" s="19" t="n">
        <v>0.026</v>
      </c>
      <c r="K10" s="19" t="n">
        <v>0.013</v>
      </c>
      <c r="L10" s="19" t="n">
        <v>0.025</v>
      </c>
      <c r="M10" s="19" t="n">
        <v>0.099</v>
      </c>
      <c r="N10" s="19" t="n">
        <v>0.025</v>
      </c>
    </row>
    <row r="11" customFormat="false" ht="15" hidden="false" customHeight="false" outlineLevel="0" collapsed="false">
      <c r="A11" s="6" t="s">
        <v>139</v>
      </c>
      <c r="B11" s="6" t="n">
        <f aca="false">good!Y8</f>
        <v>-0.161932481295505</v>
      </c>
      <c r="C11" s="6" t="n">
        <v>0</v>
      </c>
      <c r="D11" s="6" t="n">
        <v>0</v>
      </c>
      <c r="E11" s="6" t="n">
        <v>0</v>
      </c>
      <c r="F11" s="18"/>
      <c r="G11" s="19" t="n">
        <v>0.077</v>
      </c>
      <c r="H11" s="19" t="n">
        <v>0.008</v>
      </c>
      <c r="I11" s="19" t="n">
        <v>0.033</v>
      </c>
      <c r="J11" s="19" t="n">
        <v>0.071</v>
      </c>
      <c r="K11" s="19" t="n">
        <v>-0.165</v>
      </c>
      <c r="L11" s="19" t="n">
        <v>-0.036</v>
      </c>
      <c r="M11" s="19" t="n">
        <v>-0.053</v>
      </c>
      <c r="N11" s="19" t="n">
        <v>-0.072</v>
      </c>
    </row>
    <row r="12" customFormat="false" ht="15" hidden="false" customHeight="false" outlineLevel="0" collapsed="false">
      <c r="A12" s="6" t="s">
        <v>140</v>
      </c>
      <c r="B12" s="6" t="n">
        <f aca="false">good!Z8</f>
        <v>-0.22288093959217</v>
      </c>
      <c r="C12" s="6" t="n">
        <v>0</v>
      </c>
      <c r="D12" s="6" t="n">
        <v>0</v>
      </c>
      <c r="E12" s="6" t="n">
        <v>0</v>
      </c>
      <c r="F12" s="18"/>
      <c r="G12" s="19" t="n">
        <v>-0.031</v>
      </c>
      <c r="H12" s="19" t="n">
        <v>0.169</v>
      </c>
      <c r="I12" s="19" t="n">
        <v>-0.098</v>
      </c>
      <c r="J12" s="19" t="n">
        <v>0.11</v>
      </c>
      <c r="K12" s="19" t="n">
        <v>-0.191</v>
      </c>
      <c r="L12" s="19" t="n">
        <v>-0.038</v>
      </c>
      <c r="M12" s="19" t="n">
        <v>0.018</v>
      </c>
      <c r="N12" s="19" t="n">
        <v>0.066</v>
      </c>
    </row>
    <row r="13" customFormat="false" ht="15" hidden="false" customHeight="false" outlineLevel="0" collapsed="false">
      <c r="A13" s="6" t="s">
        <v>141</v>
      </c>
      <c r="B13" s="6" t="n">
        <f aca="false">good!Y9</f>
        <v>-0.262012258618734</v>
      </c>
      <c r="C13" s="6" t="n">
        <v>0</v>
      </c>
      <c r="D13" s="6" t="n">
        <v>0</v>
      </c>
      <c r="E13" s="6" t="n">
        <v>0</v>
      </c>
      <c r="F13" s="18"/>
      <c r="G13" s="19" t="n">
        <v>0.081</v>
      </c>
      <c r="H13" s="19" t="n">
        <v>0.09</v>
      </c>
      <c r="I13" s="19" t="n">
        <v>-0.039</v>
      </c>
      <c r="J13" s="19" t="n">
        <v>-0.052</v>
      </c>
      <c r="K13" s="19" t="n">
        <v>0.097</v>
      </c>
      <c r="L13" s="19" t="n">
        <v>-0.022</v>
      </c>
      <c r="M13" s="19" t="n">
        <v>-0.144</v>
      </c>
      <c r="N13" s="19" t="n">
        <v>-0.128</v>
      </c>
    </row>
    <row r="14" customFormat="false" ht="15" hidden="false" customHeight="false" outlineLevel="0" collapsed="false">
      <c r="A14" s="6" t="s">
        <v>142</v>
      </c>
      <c r="B14" s="6" t="n">
        <f aca="false">good!Z9</f>
        <v>-0.0851329434796968</v>
      </c>
      <c r="C14" s="6" t="n">
        <v>0</v>
      </c>
      <c r="D14" s="6" t="n">
        <v>0</v>
      </c>
      <c r="E14" s="6" t="n">
        <v>0</v>
      </c>
      <c r="F14" s="18"/>
      <c r="G14" s="19" t="n">
        <v>-0.104</v>
      </c>
      <c r="H14" s="19" t="n">
        <v>0.056</v>
      </c>
      <c r="I14" s="19" t="n">
        <v>0.016</v>
      </c>
      <c r="J14" s="19" t="n">
        <v>0.078</v>
      </c>
      <c r="K14" s="19" t="n">
        <v>-0.048</v>
      </c>
      <c r="L14" s="19" t="n">
        <v>0.018</v>
      </c>
      <c r="M14" s="19" t="n">
        <v>0.071</v>
      </c>
      <c r="N14" s="19" t="n">
        <v>-0.035</v>
      </c>
    </row>
    <row r="15" customFormat="false" ht="15" hidden="false" customHeight="false" outlineLevel="0" collapsed="false">
      <c r="A15" s="6" t="s">
        <v>143</v>
      </c>
      <c r="B15" s="6" t="n">
        <f aca="false">good!Y10</f>
        <v>0.161932481295505</v>
      </c>
      <c r="C15" s="6" t="n">
        <v>0</v>
      </c>
      <c r="D15" s="6" t="n">
        <v>0</v>
      </c>
      <c r="E15" s="6" t="n">
        <v>0</v>
      </c>
      <c r="F15" s="18"/>
      <c r="G15" s="19" t="n">
        <v>0.052</v>
      </c>
      <c r="H15" s="19" t="n">
        <v>-0.075</v>
      </c>
      <c r="I15" s="19" t="n">
        <v>-0.041</v>
      </c>
      <c r="J15" s="19" t="n">
        <v>-0.043</v>
      </c>
      <c r="K15" s="19" t="n">
        <v>-0.135</v>
      </c>
      <c r="L15" s="19" t="n">
        <v>0.055</v>
      </c>
      <c r="M15" s="19" t="n">
        <v>-0.053</v>
      </c>
      <c r="N15" s="19" t="n">
        <v>0.001</v>
      </c>
    </row>
    <row r="16" customFormat="false" ht="15" hidden="false" customHeight="false" outlineLevel="0" collapsed="false">
      <c r="A16" s="6" t="s">
        <v>144</v>
      </c>
      <c r="B16" s="6" t="n">
        <f aca="false">good!Z10</f>
        <v>-0.22288093959217</v>
      </c>
      <c r="C16" s="6" t="n">
        <v>0</v>
      </c>
      <c r="D16" s="6" t="n">
        <v>0</v>
      </c>
      <c r="E16" s="6" t="n">
        <v>0</v>
      </c>
      <c r="F16" s="18"/>
      <c r="G16" s="19" t="n">
        <v>0.054</v>
      </c>
      <c r="H16" s="19" t="n">
        <v>0.051</v>
      </c>
      <c r="I16" s="19" t="n">
        <v>0.075</v>
      </c>
      <c r="J16" s="19" t="n">
        <v>-0.011</v>
      </c>
      <c r="K16" s="19" t="n">
        <v>-0.048</v>
      </c>
      <c r="L16" s="19" t="n">
        <v>-0.009</v>
      </c>
      <c r="M16" s="19" t="n">
        <v>-0.191</v>
      </c>
      <c r="N16" s="19" t="n">
        <v>-0.164</v>
      </c>
    </row>
    <row r="17" customFormat="false" ht="15" hidden="false" customHeight="false" outlineLevel="0" collapsed="false">
      <c r="A17" s="6" t="s">
        <v>145</v>
      </c>
      <c r="B17" s="6" t="n">
        <v>0</v>
      </c>
      <c r="C17" s="6" t="n">
        <v>0</v>
      </c>
      <c r="D17" s="6" t="n">
        <f aca="false">sweet!AE8</f>
        <v>0.0550069589481136</v>
      </c>
      <c r="E17" s="6" t="n">
        <f aca="false">prince!AP8</f>
        <v>1.29893408435324E-016</v>
      </c>
      <c r="F17" s="18"/>
      <c r="G17" s="19" t="n">
        <v>-0.15</v>
      </c>
      <c r="H17" s="19" t="n">
        <v>-0.113</v>
      </c>
      <c r="I17" s="19" t="n">
        <v>0.045</v>
      </c>
      <c r="J17" s="19" t="n">
        <v>-0.103</v>
      </c>
      <c r="K17" s="19" t="n">
        <v>-0.043</v>
      </c>
      <c r="L17" s="19" t="n">
        <v>0.147</v>
      </c>
      <c r="M17" s="19" t="n">
        <v>-0.04</v>
      </c>
      <c r="N17" s="19" t="n">
        <v>0.084</v>
      </c>
    </row>
    <row r="18" customFormat="false" ht="15" hidden="false" customHeight="false" outlineLevel="0" collapsed="false">
      <c r="A18" s="6" t="s">
        <v>146</v>
      </c>
      <c r="B18" s="6" t="n">
        <v>0</v>
      </c>
      <c r="C18" s="6" t="n">
        <v>0</v>
      </c>
      <c r="D18" s="6" t="n">
        <f aca="false">sweet!AF8</f>
        <v>-0.0550069589481135</v>
      </c>
      <c r="E18" s="6" t="n">
        <f aca="false">prince!AQ8</f>
        <v>-0.235702260395516</v>
      </c>
      <c r="F18" s="18"/>
      <c r="G18" s="19" t="n">
        <v>-0.106</v>
      </c>
      <c r="H18" s="19" t="n">
        <v>-0.023</v>
      </c>
      <c r="I18" s="19" t="n">
        <v>-0.108</v>
      </c>
      <c r="J18" s="19" t="n">
        <v>-0.038</v>
      </c>
      <c r="K18" s="19" t="n">
        <v>0.095</v>
      </c>
      <c r="L18" s="19" t="n">
        <v>-0.196</v>
      </c>
      <c r="M18" s="19" t="n">
        <v>0.049</v>
      </c>
      <c r="N18" s="19" t="n">
        <v>0.027</v>
      </c>
    </row>
    <row r="19" customFormat="false" ht="15" hidden="false" customHeight="false" outlineLevel="0" collapsed="false">
      <c r="A19" s="6" t="s">
        <v>147</v>
      </c>
      <c r="B19" s="6" t="n">
        <v>0</v>
      </c>
      <c r="C19" s="6" t="n">
        <v>0</v>
      </c>
      <c r="D19" s="6" t="n">
        <f aca="false">sweet!AE9</f>
        <v>-0.313304100128615</v>
      </c>
      <c r="E19" s="6" t="n">
        <f aca="false">prince!AP9</f>
        <v>1.66047858346062E-016</v>
      </c>
      <c r="F19" s="18"/>
      <c r="G19" s="19" t="n">
        <v>-0.067</v>
      </c>
      <c r="H19" s="19" t="n">
        <v>-0.164</v>
      </c>
      <c r="I19" s="19" t="n">
        <v>0.008</v>
      </c>
      <c r="J19" s="19" t="n">
        <v>-0.06</v>
      </c>
      <c r="K19" s="19" t="n">
        <v>0.026</v>
      </c>
      <c r="L19" s="19" t="n">
        <v>0.002</v>
      </c>
      <c r="M19" s="19" t="n">
        <v>0.181</v>
      </c>
      <c r="N19" s="19" t="n">
        <v>-0.027</v>
      </c>
    </row>
    <row r="20" customFormat="false" ht="15" hidden="false" customHeight="false" outlineLevel="0" collapsed="false">
      <c r="A20" s="6" t="s">
        <v>148</v>
      </c>
      <c r="B20" s="6" t="n">
        <v>0</v>
      </c>
      <c r="C20" s="6" t="n">
        <v>0</v>
      </c>
      <c r="D20" s="6" t="n">
        <f aca="false">sweet!AF9</f>
        <v>-0.313304100128615</v>
      </c>
      <c r="E20" s="6" t="n">
        <f aca="false">prince!AQ9</f>
        <v>0.235702260395516</v>
      </c>
      <c r="F20" s="18"/>
      <c r="G20" s="19" t="n">
        <v>-0.116</v>
      </c>
      <c r="H20" s="19" t="n">
        <v>0.02</v>
      </c>
      <c r="I20" s="19" t="n">
        <v>0.025</v>
      </c>
      <c r="J20" s="19" t="n">
        <v>0.154</v>
      </c>
      <c r="K20" s="19" t="n">
        <v>0.095</v>
      </c>
      <c r="L20" s="19" t="n">
        <v>0.04</v>
      </c>
      <c r="M20" s="19" t="n">
        <v>0.166</v>
      </c>
      <c r="N20" s="19" t="n">
        <v>-0.135</v>
      </c>
    </row>
    <row r="21" customFormat="false" ht="15" hidden="false" customHeight="false" outlineLevel="0" collapsed="false">
      <c r="A21" s="6" t="s">
        <v>149</v>
      </c>
      <c r="B21" s="6" t="n">
        <v>0</v>
      </c>
      <c r="C21" s="6" t="n">
        <v>0</v>
      </c>
      <c r="D21" s="6" t="n">
        <f aca="false">sweet!AE10</f>
        <v>0.34730027037632</v>
      </c>
      <c r="E21" s="6" t="n">
        <f aca="false">prince!AP10</f>
        <v>-9.02402296416601E-017</v>
      </c>
      <c r="F21" s="18"/>
      <c r="G21" s="19" t="n">
        <v>-0.072</v>
      </c>
      <c r="H21" s="19" t="n">
        <v>-0.105</v>
      </c>
      <c r="I21" s="19" t="n">
        <v>-0.044</v>
      </c>
      <c r="J21" s="19" t="n">
        <v>-0.156</v>
      </c>
      <c r="K21" s="19" t="n">
        <v>0.072</v>
      </c>
      <c r="L21" s="19" t="n">
        <v>-0.025</v>
      </c>
      <c r="M21" s="19" t="n">
        <v>-0.167</v>
      </c>
      <c r="N21" s="19" t="n">
        <v>-0.115</v>
      </c>
    </row>
    <row r="22" customFormat="false" ht="15" hidden="false" customHeight="false" outlineLevel="0" collapsed="false">
      <c r="A22" s="6" t="s">
        <v>150</v>
      </c>
      <c r="B22" s="6" t="n">
        <v>0</v>
      </c>
      <c r="C22" s="6" t="n">
        <v>0</v>
      </c>
      <c r="D22" s="6" t="n">
        <f aca="false">sweet!AF10</f>
        <v>-0.34730027037632</v>
      </c>
      <c r="E22" s="6" t="n">
        <f aca="false">prince!AQ10</f>
        <v>-0.235702260395516</v>
      </c>
      <c r="F22" s="18"/>
      <c r="G22" s="19" t="n">
        <v>0.035</v>
      </c>
      <c r="H22" s="19" t="n">
        <v>0.095</v>
      </c>
      <c r="I22" s="19" t="n">
        <v>0.226</v>
      </c>
      <c r="J22" s="19" t="n">
        <v>0.33</v>
      </c>
      <c r="K22" s="19" t="n">
        <v>0.047</v>
      </c>
      <c r="L22" s="19" t="n">
        <v>-0.112</v>
      </c>
      <c r="M22" s="19" t="n">
        <v>-0.241</v>
      </c>
      <c r="N22" s="19" t="n">
        <v>0.03</v>
      </c>
    </row>
    <row r="23" customFormat="false" ht="15" hidden="false" customHeight="false" outlineLevel="0" collapsed="false">
      <c r="A23" s="6" t="s">
        <v>151</v>
      </c>
      <c r="B23" s="6" t="n">
        <f aca="false">good!AA8</f>
        <v>0.275495992224947</v>
      </c>
      <c r="C23" s="6" t="n">
        <f aca="false">night!AH8</f>
        <v>0.208887289734197</v>
      </c>
      <c r="D23" s="6" t="n">
        <v>0</v>
      </c>
      <c r="E23" s="6" t="n">
        <v>0</v>
      </c>
      <c r="F23" s="18"/>
      <c r="G23" s="19" t="n">
        <v>-0.092</v>
      </c>
      <c r="H23" s="19" t="n">
        <v>-0.047</v>
      </c>
      <c r="I23" s="19" t="n">
        <v>-0.069</v>
      </c>
      <c r="J23" s="19" t="n">
        <v>-0.016</v>
      </c>
      <c r="K23" s="19" t="n">
        <v>0.121</v>
      </c>
      <c r="L23" s="19" t="n">
        <v>0.018</v>
      </c>
      <c r="M23" s="19" t="n">
        <v>-0.018</v>
      </c>
      <c r="N23" s="19" t="n">
        <v>-0.117</v>
      </c>
    </row>
    <row r="24" customFormat="false" ht="15" hidden="false" customHeight="false" outlineLevel="0" collapsed="false">
      <c r="A24" s="6" t="s">
        <v>152</v>
      </c>
      <c r="B24" s="6" t="n">
        <f aca="false">good!AB8</f>
        <v>-0</v>
      </c>
      <c r="C24" s="6" t="n">
        <f aca="false">night!AI8</f>
        <v>0.151765499551672</v>
      </c>
      <c r="D24" s="6" t="n">
        <v>0</v>
      </c>
      <c r="E24" s="6" t="n">
        <v>0</v>
      </c>
      <c r="F24" s="18"/>
      <c r="G24" s="19" t="n">
        <v>-0.19</v>
      </c>
      <c r="H24" s="19" t="n">
        <v>-0.055</v>
      </c>
      <c r="I24" s="19" t="n">
        <v>-0.006</v>
      </c>
      <c r="J24" s="19" t="n">
        <v>0.2</v>
      </c>
      <c r="K24" s="19" t="n">
        <v>0.015</v>
      </c>
      <c r="L24" s="19" t="n">
        <v>0.111</v>
      </c>
      <c r="M24" s="19" t="n">
        <v>-0.057</v>
      </c>
      <c r="N24" s="19" t="n">
        <v>-0.134</v>
      </c>
    </row>
    <row r="25" customFormat="false" ht="15" hidden="false" customHeight="false" outlineLevel="0" collapsed="false">
      <c r="A25" s="6" t="s">
        <v>153</v>
      </c>
      <c r="B25" s="6" t="n">
        <f aca="false">good!AA9</f>
        <v>0.275495992224947</v>
      </c>
      <c r="C25" s="6" t="n">
        <f aca="false">night!AH9</f>
        <v>-0.0797878448606162</v>
      </c>
      <c r="D25" s="6" t="n">
        <v>0</v>
      </c>
      <c r="E25" s="6" t="n">
        <v>0</v>
      </c>
      <c r="F25" s="18"/>
      <c r="G25" s="19" t="n">
        <v>-0.109</v>
      </c>
      <c r="H25" s="19" t="n">
        <v>-0.082</v>
      </c>
      <c r="I25" s="19" t="n">
        <v>0.241</v>
      </c>
      <c r="J25" s="19" t="n">
        <v>-0.093</v>
      </c>
      <c r="K25" s="19" t="n">
        <v>0.095</v>
      </c>
      <c r="L25" s="19" t="n">
        <v>-0.102</v>
      </c>
      <c r="M25" s="19" t="n">
        <v>0.105</v>
      </c>
      <c r="N25" s="19" t="n">
        <v>0.044</v>
      </c>
    </row>
    <row r="26" customFormat="false" ht="15" hidden="false" customHeight="false" outlineLevel="0" collapsed="false">
      <c r="A26" s="6" t="s">
        <v>154</v>
      </c>
      <c r="B26" s="6" t="n">
        <f aca="false">good!AB9</f>
        <v>-0</v>
      </c>
      <c r="C26" s="6" t="n">
        <f aca="false">night!AI9</f>
        <v>-0.245561736594212</v>
      </c>
      <c r="D26" s="6" t="n">
        <v>0</v>
      </c>
      <c r="E26" s="6" t="n">
        <v>0</v>
      </c>
      <c r="F26" s="18"/>
      <c r="G26" s="19" t="n">
        <v>-0.018</v>
      </c>
      <c r="H26" s="19" t="n">
        <v>-0.005</v>
      </c>
      <c r="I26" s="19" t="n">
        <v>-0.074</v>
      </c>
      <c r="J26" s="19" t="n">
        <v>0.051</v>
      </c>
      <c r="K26" s="19" t="n">
        <v>-0.052</v>
      </c>
      <c r="L26" s="19" t="n">
        <v>-0.139</v>
      </c>
      <c r="M26" s="19" t="n">
        <v>-0.145</v>
      </c>
      <c r="N26" s="19" t="n">
        <v>0.02</v>
      </c>
    </row>
    <row r="27" customFormat="false" ht="15" hidden="false" customHeight="false" outlineLevel="0" collapsed="false">
      <c r="A27" s="6" t="s">
        <v>155</v>
      </c>
      <c r="B27" s="6" t="n">
        <f aca="false">good!AA10</f>
        <v>0.275495992224947</v>
      </c>
      <c r="C27" s="6" t="n">
        <f aca="false">night!AH10</f>
        <v>0.208887289734197</v>
      </c>
      <c r="D27" s="6" t="n">
        <v>0</v>
      </c>
      <c r="E27" s="6" t="n">
        <v>0</v>
      </c>
      <c r="F27" s="18"/>
      <c r="G27" s="19" t="n">
        <v>0.179</v>
      </c>
      <c r="H27" s="19" t="n">
        <v>0.018</v>
      </c>
      <c r="I27" s="19" t="n">
        <v>-0.013</v>
      </c>
      <c r="J27" s="19" t="n">
        <v>0.032</v>
      </c>
      <c r="K27" s="19" t="n">
        <v>0.148</v>
      </c>
      <c r="L27" s="19" t="n">
        <v>0.025</v>
      </c>
      <c r="M27" s="19" t="n">
        <v>-0.047</v>
      </c>
      <c r="N27" s="19" t="n">
        <v>0.125</v>
      </c>
    </row>
    <row r="28" customFormat="false" ht="15" hidden="false" customHeight="false" outlineLevel="0" collapsed="false">
      <c r="A28" s="6" t="s">
        <v>156</v>
      </c>
      <c r="B28" s="6" t="n">
        <f aca="false">good!AB10</f>
        <v>-0</v>
      </c>
      <c r="C28" s="6" t="n">
        <f aca="false">night!AI10</f>
        <v>-0.151765499551672</v>
      </c>
      <c r="D28" s="6" t="n">
        <v>0</v>
      </c>
      <c r="E28" s="6" t="n">
        <v>0</v>
      </c>
      <c r="F28" s="18"/>
      <c r="G28" s="19" t="n">
        <v>0.049</v>
      </c>
      <c r="H28" s="19" t="n">
        <v>0.174</v>
      </c>
      <c r="I28" s="19" t="n">
        <v>0.021</v>
      </c>
      <c r="J28" s="19" t="n">
        <v>-0.139</v>
      </c>
      <c r="K28" s="19" t="n">
        <v>-0.155</v>
      </c>
      <c r="L28" s="19" t="n">
        <v>0.187</v>
      </c>
      <c r="M28" s="19" t="n">
        <v>0.195</v>
      </c>
      <c r="N28" s="19" t="n">
        <v>-0.02</v>
      </c>
    </row>
    <row r="29" customFormat="false" ht="15" hidden="false" customHeight="false" outlineLevel="0" collapsed="false">
      <c r="A29" s="6" t="s">
        <v>157</v>
      </c>
      <c r="B29" s="6" t="n">
        <v>0</v>
      </c>
      <c r="C29" s="6" t="n">
        <f aca="false">night!AJ8</f>
        <v>-0.151765499551671</v>
      </c>
      <c r="D29" s="6" t="n">
        <v>0</v>
      </c>
      <c r="E29" s="6" t="n">
        <v>0</v>
      </c>
      <c r="F29" s="18"/>
      <c r="G29" s="19" t="n">
        <v>-0.043</v>
      </c>
      <c r="H29" s="19" t="n">
        <v>0.165</v>
      </c>
      <c r="I29" s="19" t="n">
        <v>-0.125</v>
      </c>
      <c r="J29" s="19" t="n">
        <v>-0.101</v>
      </c>
      <c r="K29" s="19" t="n">
        <v>0.073</v>
      </c>
      <c r="L29" s="19" t="n">
        <v>-0.045</v>
      </c>
      <c r="M29" s="19" t="n">
        <v>-0.001</v>
      </c>
      <c r="N29" s="19" t="n">
        <v>-0.019</v>
      </c>
    </row>
    <row r="30" customFormat="false" ht="15" hidden="false" customHeight="false" outlineLevel="0" collapsed="false">
      <c r="A30" s="6" t="s">
        <v>158</v>
      </c>
      <c r="B30" s="6" t="n">
        <v>0</v>
      </c>
      <c r="C30" s="6" t="n">
        <f aca="false">night!AK8</f>
        <v>-0.208887289734197</v>
      </c>
      <c r="D30" s="6" t="n">
        <v>0</v>
      </c>
      <c r="E30" s="6" t="n">
        <v>0</v>
      </c>
      <c r="F30" s="18"/>
      <c r="G30" s="19" t="n">
        <v>0.038</v>
      </c>
      <c r="H30" s="19" t="n">
        <v>0.159</v>
      </c>
      <c r="I30" s="19" t="n">
        <v>0.01</v>
      </c>
      <c r="J30" s="19" t="n">
        <v>0.073</v>
      </c>
      <c r="K30" s="19" t="n">
        <v>-0.232</v>
      </c>
      <c r="L30" s="19" t="n">
        <v>-0.006</v>
      </c>
      <c r="M30" s="19" t="n">
        <v>-0.095</v>
      </c>
      <c r="N30" s="19" t="n">
        <v>-0.138</v>
      </c>
    </row>
    <row r="31" customFormat="false" ht="15" hidden="false" customHeight="false" outlineLevel="0" collapsed="false">
      <c r="A31" s="6" t="s">
        <v>159</v>
      </c>
      <c r="B31" s="6" t="n">
        <v>0</v>
      </c>
      <c r="C31" s="6" t="n">
        <f aca="false">night!AJ9</f>
        <v>-0.245561736594212</v>
      </c>
      <c r="D31" s="6" t="n">
        <v>0</v>
      </c>
      <c r="E31" s="6" t="n">
        <v>0</v>
      </c>
      <c r="F31" s="18"/>
      <c r="G31" s="19" t="n">
        <v>-0.099</v>
      </c>
      <c r="H31" s="19" t="n">
        <v>-0.038</v>
      </c>
      <c r="I31" s="19" t="n">
        <v>0.104</v>
      </c>
      <c r="J31" s="19" t="n">
        <v>-0.15</v>
      </c>
      <c r="K31" s="19" t="n">
        <v>0.003</v>
      </c>
      <c r="L31" s="19" t="n">
        <v>-0.055</v>
      </c>
      <c r="M31" s="19" t="n">
        <v>-0.037</v>
      </c>
      <c r="N31" s="19" t="n">
        <v>0.114</v>
      </c>
    </row>
    <row r="32" customFormat="false" ht="15" hidden="false" customHeight="false" outlineLevel="0" collapsed="false">
      <c r="A32" s="6" t="s">
        <v>160</v>
      </c>
      <c r="B32" s="6" t="n">
        <v>0</v>
      </c>
      <c r="C32" s="6" t="n">
        <f aca="false">night!AK9</f>
        <v>-0.0797878448606161</v>
      </c>
      <c r="D32" s="6" t="n">
        <v>0</v>
      </c>
      <c r="E32" s="6" t="n">
        <v>0</v>
      </c>
      <c r="F32" s="18"/>
      <c r="G32" s="19" t="n">
        <v>0.061</v>
      </c>
      <c r="H32" s="19" t="n">
        <v>0.151</v>
      </c>
      <c r="I32" s="19" t="n">
        <v>-0.017</v>
      </c>
      <c r="J32" s="19" t="n">
        <v>-0.079</v>
      </c>
      <c r="K32" s="19" t="n">
        <v>-0.025</v>
      </c>
      <c r="L32" s="19" t="n">
        <v>0.027</v>
      </c>
      <c r="M32" s="19" t="n">
        <v>0.02</v>
      </c>
      <c r="N32" s="19" t="n">
        <v>-0.123</v>
      </c>
    </row>
    <row r="33" customFormat="false" ht="15" hidden="false" customHeight="false" outlineLevel="0" collapsed="false">
      <c r="A33" s="6" t="s">
        <v>161</v>
      </c>
      <c r="B33" s="6" t="n">
        <v>0</v>
      </c>
      <c r="C33" s="6" t="n">
        <f aca="false">night!AJ10</f>
        <v>0.151765499551671</v>
      </c>
      <c r="D33" s="6" t="n">
        <v>0</v>
      </c>
      <c r="E33" s="6" t="n">
        <v>0</v>
      </c>
      <c r="F33" s="18"/>
      <c r="G33" s="19" t="n">
        <v>0.01</v>
      </c>
      <c r="H33" s="19" t="n">
        <v>0.026</v>
      </c>
      <c r="I33" s="19" t="n">
        <v>0.285</v>
      </c>
      <c r="J33" s="19" t="n">
        <v>0.213</v>
      </c>
      <c r="K33" s="19" t="n">
        <v>-0.097</v>
      </c>
      <c r="L33" s="19" t="n">
        <v>-0.033</v>
      </c>
      <c r="M33" s="19" t="n">
        <v>-0.166</v>
      </c>
      <c r="N33" s="19" t="n">
        <v>-0.067</v>
      </c>
    </row>
    <row r="34" customFormat="false" ht="15" hidden="false" customHeight="false" outlineLevel="0" collapsed="false">
      <c r="A34" s="6" t="s">
        <v>162</v>
      </c>
      <c r="B34" s="6" t="n">
        <v>0</v>
      </c>
      <c r="C34" s="6" t="n">
        <f aca="false">night!AK10</f>
        <v>-0.208887289734197</v>
      </c>
      <c r="D34" s="6" t="n">
        <v>0</v>
      </c>
      <c r="E34" s="6" t="n">
        <v>0</v>
      </c>
      <c r="F34" s="18"/>
      <c r="G34" s="19" t="n">
        <v>0.036</v>
      </c>
      <c r="H34" s="19" t="n">
        <v>0.137</v>
      </c>
      <c r="I34" s="19" t="n">
        <v>-0.083</v>
      </c>
      <c r="J34" s="19" t="n">
        <v>-0.074</v>
      </c>
      <c r="K34" s="19" t="n">
        <v>-0.243</v>
      </c>
      <c r="L34" s="19" t="n">
        <v>-0.018</v>
      </c>
      <c r="M34" s="19" t="n">
        <v>-0.12</v>
      </c>
      <c r="N34" s="19" t="n">
        <v>-0.06</v>
      </c>
    </row>
    <row r="35" customFormat="false" ht="15" hidden="false" customHeight="false" outlineLevel="0" collapsed="false">
      <c r="A35" s="6" t="s">
        <v>163</v>
      </c>
      <c r="B35" s="6" t="n">
        <v>0</v>
      </c>
      <c r="C35" s="6" t="n">
        <f aca="false">night!AL8</f>
        <v>-0.245561736594212</v>
      </c>
      <c r="D35" s="6" t="n">
        <v>0</v>
      </c>
      <c r="E35" s="6" t="n">
        <f aca="false">prince!AR8</f>
        <v>0.190687134272561</v>
      </c>
      <c r="F35" s="18"/>
      <c r="G35" s="19" t="n">
        <v>-0.099</v>
      </c>
      <c r="H35" s="19" t="n">
        <v>-0.011</v>
      </c>
      <c r="I35" s="19" t="n">
        <v>-0.199</v>
      </c>
      <c r="J35" s="19" t="n">
        <v>-0.166</v>
      </c>
      <c r="K35" s="19" t="n">
        <v>0.241</v>
      </c>
      <c r="L35" s="19" t="n">
        <v>-0.146</v>
      </c>
      <c r="M35" s="19" t="n">
        <v>-0.124</v>
      </c>
      <c r="N35" s="19" t="n">
        <v>0.208</v>
      </c>
    </row>
    <row r="36" customFormat="false" ht="15" hidden="false" customHeight="false" outlineLevel="0" collapsed="false">
      <c r="A36" s="6" t="s">
        <v>164</v>
      </c>
      <c r="B36" s="6" t="n">
        <v>0</v>
      </c>
      <c r="C36" s="6" t="n">
        <f aca="false">night!AM8</f>
        <v>-0.0797878448606162</v>
      </c>
      <c r="D36" s="6" t="n">
        <v>0</v>
      </c>
      <c r="E36" s="6" t="n">
        <f aca="false">prince!AS8</f>
        <v>0.138542312592485</v>
      </c>
      <c r="F36" s="18"/>
      <c r="G36" s="19" t="n">
        <v>0.329</v>
      </c>
      <c r="H36" s="19" t="n">
        <v>-0.133</v>
      </c>
      <c r="I36" s="19" t="n">
        <v>-0.042</v>
      </c>
      <c r="J36" s="19" t="n">
        <v>0.039</v>
      </c>
      <c r="K36" s="19" t="n">
        <v>0.196</v>
      </c>
      <c r="L36" s="19" t="n">
        <v>-0.112</v>
      </c>
      <c r="M36" s="19" t="n">
        <v>-0.028</v>
      </c>
      <c r="N36" s="19" t="n">
        <v>0.088</v>
      </c>
    </row>
    <row r="37" customFormat="false" ht="15" hidden="false" customHeight="false" outlineLevel="0" collapsed="false">
      <c r="A37" s="6" t="s">
        <v>165</v>
      </c>
      <c r="B37" s="6" t="n">
        <v>0</v>
      </c>
      <c r="C37" s="6" t="n">
        <f aca="false">night!AL9</f>
        <v>0.151765499551672</v>
      </c>
      <c r="D37" s="6" t="n">
        <v>0</v>
      </c>
      <c r="E37" s="6" t="n">
        <f aca="false">prince!AR9</f>
        <v>-0.0728360040748036</v>
      </c>
      <c r="F37" s="18"/>
      <c r="G37" s="19" t="n">
        <v>0.049</v>
      </c>
      <c r="H37" s="19" t="n">
        <v>-0.043</v>
      </c>
      <c r="I37" s="19" t="n">
        <v>-0.015</v>
      </c>
      <c r="J37" s="19" t="n">
        <v>-0.156</v>
      </c>
      <c r="K37" s="19" t="n">
        <v>-0.027</v>
      </c>
      <c r="L37" s="19" t="n">
        <v>-0.03</v>
      </c>
      <c r="M37" s="19" t="n">
        <v>0.026</v>
      </c>
      <c r="N37" s="19" t="n">
        <v>-0.063</v>
      </c>
    </row>
    <row r="38" customFormat="false" ht="15" hidden="false" customHeight="false" outlineLevel="0" collapsed="false">
      <c r="A38" s="6" t="s">
        <v>166</v>
      </c>
      <c r="B38" s="6" t="n">
        <v>0</v>
      </c>
      <c r="C38" s="6" t="n">
        <f aca="false">night!AM9</f>
        <v>-0.208887289734197</v>
      </c>
      <c r="D38" s="6" t="n">
        <v>0</v>
      </c>
      <c r="E38" s="6" t="n">
        <f aca="false">prince!AS9</f>
        <v>-0.224166170654652</v>
      </c>
      <c r="F38" s="18"/>
      <c r="G38" s="19" t="n">
        <v>0.053</v>
      </c>
      <c r="H38" s="19" t="n">
        <v>0.115</v>
      </c>
      <c r="I38" s="19" t="n">
        <v>0.018</v>
      </c>
      <c r="J38" s="19" t="n">
        <v>0.04</v>
      </c>
      <c r="K38" s="19" t="n">
        <v>0.006</v>
      </c>
      <c r="L38" s="19" t="n">
        <v>0</v>
      </c>
      <c r="M38" s="19" t="n">
        <v>-0.082</v>
      </c>
      <c r="N38" s="19" t="n">
        <v>0.036</v>
      </c>
    </row>
    <row r="39" customFormat="false" ht="15" hidden="false" customHeight="false" outlineLevel="0" collapsed="false">
      <c r="A39" s="6" t="s">
        <v>167</v>
      </c>
      <c r="B39" s="6" t="n">
        <v>0</v>
      </c>
      <c r="C39" s="6" t="n">
        <f aca="false">night!AL10</f>
        <v>0.245561736594212</v>
      </c>
      <c r="D39" s="6" t="n">
        <v>0</v>
      </c>
      <c r="E39" s="6" t="n">
        <f aca="false">prince!AR10</f>
        <v>0.190687134272561</v>
      </c>
      <c r="F39" s="18"/>
      <c r="G39" s="19" t="n">
        <v>-0.011</v>
      </c>
      <c r="H39" s="19" t="n">
        <v>0.237</v>
      </c>
      <c r="I39" s="19" t="n">
        <v>0.178</v>
      </c>
      <c r="J39" s="19" t="n">
        <v>0.044</v>
      </c>
      <c r="K39" s="19" t="n">
        <v>-0.086</v>
      </c>
      <c r="L39" s="19" t="n">
        <v>-0.126</v>
      </c>
      <c r="M39" s="19" t="n">
        <v>0.135</v>
      </c>
      <c r="N39" s="19" t="n">
        <v>0.03</v>
      </c>
    </row>
    <row r="40" customFormat="false" ht="15" hidden="false" customHeight="false" outlineLevel="0" collapsed="false">
      <c r="A40" s="6" t="s">
        <v>168</v>
      </c>
      <c r="B40" s="6" t="n">
        <v>0</v>
      </c>
      <c r="C40" s="6" t="n">
        <f aca="false">night!AM10</f>
        <v>-0.0797878448606162</v>
      </c>
      <c r="D40" s="6" t="n">
        <v>0</v>
      </c>
      <c r="E40" s="6" t="n">
        <f aca="false">prince!AS10</f>
        <v>-0.138542312592485</v>
      </c>
      <c r="F40" s="18"/>
      <c r="G40" s="19" t="n">
        <v>0.054</v>
      </c>
      <c r="H40" s="19" t="n">
        <v>-0.198</v>
      </c>
      <c r="I40" s="19" t="n">
        <v>0.105</v>
      </c>
      <c r="J40" s="19" t="n">
        <v>0.051</v>
      </c>
      <c r="K40" s="19" t="n">
        <v>-0.126</v>
      </c>
      <c r="L40" s="19" t="n">
        <v>-0.053</v>
      </c>
      <c r="M40" s="19" t="n">
        <v>0.03</v>
      </c>
      <c r="N40" s="19" t="n">
        <v>0.006</v>
      </c>
    </row>
    <row r="41" customFormat="false" ht="15" hidden="false" customHeight="false" outlineLevel="0" collapsed="false">
      <c r="A41" s="6" t="s">
        <v>169</v>
      </c>
      <c r="B41" s="6" t="n">
        <v>0</v>
      </c>
      <c r="C41" s="6" t="n">
        <f aca="false">night!AN8</f>
        <v>0.258198889747161</v>
      </c>
      <c r="D41" s="6" t="n">
        <v>0</v>
      </c>
      <c r="E41" s="6" t="n">
        <f aca="false">prince!AT8</f>
        <v>-0.138542312592484</v>
      </c>
      <c r="F41" s="18"/>
      <c r="G41" s="19" t="n">
        <v>-0.033</v>
      </c>
      <c r="H41" s="19" t="n">
        <v>-0.012</v>
      </c>
      <c r="I41" s="19" t="n">
        <v>-0.029</v>
      </c>
      <c r="J41" s="19" t="n">
        <v>0.017</v>
      </c>
      <c r="K41" s="19" t="n">
        <v>0.167</v>
      </c>
      <c r="L41" s="19" t="n">
        <v>-0.291</v>
      </c>
      <c r="M41" s="19" t="n">
        <v>-0.027</v>
      </c>
      <c r="N41" s="19" t="n">
        <v>0.02</v>
      </c>
    </row>
    <row r="42" customFormat="false" ht="15" hidden="false" customHeight="false" outlineLevel="0" collapsed="false">
      <c r="A42" s="6" t="s">
        <v>170</v>
      </c>
      <c r="B42" s="6" t="n">
        <v>0</v>
      </c>
      <c r="C42" s="6" t="n">
        <f aca="false">night!AO8</f>
        <v>-0</v>
      </c>
      <c r="D42" s="6" t="n">
        <v>0</v>
      </c>
      <c r="E42" s="6" t="n">
        <f aca="false">prince!AU8</f>
        <v>-0.190687134272562</v>
      </c>
      <c r="F42" s="18"/>
      <c r="G42" s="19" t="n">
        <v>0.034</v>
      </c>
      <c r="H42" s="19" t="n">
        <v>-0.042</v>
      </c>
      <c r="I42" s="19" t="n">
        <v>-0.199</v>
      </c>
      <c r="J42" s="19" t="n">
        <v>0.037</v>
      </c>
      <c r="K42" s="19" t="n">
        <v>0.196</v>
      </c>
      <c r="L42" s="19" t="n">
        <v>-0.174</v>
      </c>
      <c r="M42" s="19" t="n">
        <v>0.098</v>
      </c>
      <c r="N42" s="19" t="n">
        <v>-0.037</v>
      </c>
    </row>
    <row r="43" customFormat="false" ht="15" hidden="false" customHeight="false" outlineLevel="0" collapsed="false">
      <c r="A43" s="6" t="s">
        <v>171</v>
      </c>
      <c r="B43" s="6" t="n">
        <v>0</v>
      </c>
      <c r="C43" s="6" t="n">
        <f aca="false">night!AN9</f>
        <v>0.258198889747161</v>
      </c>
      <c r="D43" s="6" t="n">
        <v>0</v>
      </c>
      <c r="E43" s="6" t="n">
        <f aca="false">prince!AT9</f>
        <v>-0.224166170654652</v>
      </c>
      <c r="F43" s="18"/>
      <c r="G43" s="19" t="n">
        <v>-0.007</v>
      </c>
      <c r="H43" s="19" t="n">
        <v>-0.119</v>
      </c>
      <c r="I43" s="19" t="n">
        <v>-0.038</v>
      </c>
      <c r="J43" s="19" t="n">
        <v>0.147</v>
      </c>
      <c r="K43" s="19" t="n">
        <v>0.066</v>
      </c>
      <c r="L43" s="19" t="n">
        <v>0.196</v>
      </c>
      <c r="M43" s="19" t="n">
        <v>0.133</v>
      </c>
      <c r="N43" s="19" t="n">
        <v>0.05</v>
      </c>
    </row>
    <row r="44" customFormat="false" ht="15" hidden="false" customHeight="false" outlineLevel="0" collapsed="false">
      <c r="A44" s="6" t="s">
        <v>172</v>
      </c>
      <c r="B44" s="6" t="n">
        <v>0</v>
      </c>
      <c r="C44" s="6" t="n">
        <f aca="false">night!AO9</f>
        <v>-0</v>
      </c>
      <c r="D44" s="6" t="n">
        <v>0</v>
      </c>
      <c r="E44" s="6" t="n">
        <f aca="false">prince!AU9</f>
        <v>-0.0728360040748035</v>
      </c>
      <c r="F44" s="18"/>
      <c r="G44" s="19" t="n">
        <v>0.197</v>
      </c>
      <c r="H44" s="19" t="n">
        <v>0.05</v>
      </c>
      <c r="I44" s="19" t="n">
        <v>0.094</v>
      </c>
      <c r="J44" s="19" t="n">
        <v>-0.034</v>
      </c>
      <c r="K44" s="19" t="n">
        <v>0.008</v>
      </c>
      <c r="L44" s="19" t="n">
        <v>-0.079</v>
      </c>
      <c r="M44" s="19" t="n">
        <v>0.112</v>
      </c>
      <c r="N44" s="19" t="n">
        <v>-0.133</v>
      </c>
    </row>
    <row r="45" customFormat="false" ht="15" hidden="false" customHeight="false" outlineLevel="0" collapsed="false">
      <c r="A45" s="6" t="s">
        <v>173</v>
      </c>
      <c r="B45" s="6" t="n">
        <v>0</v>
      </c>
      <c r="C45" s="6" t="n">
        <f aca="false">night!AN10</f>
        <v>0.258198889747161</v>
      </c>
      <c r="D45" s="6" t="n">
        <v>0</v>
      </c>
      <c r="E45" s="6" t="n">
        <f aca="false">prince!AT10</f>
        <v>0.138542312592484</v>
      </c>
      <c r="F45" s="18"/>
      <c r="G45" s="19" t="n">
        <v>0.089</v>
      </c>
      <c r="H45" s="19" t="n">
        <v>-0.022</v>
      </c>
      <c r="I45" s="19" t="n">
        <v>0.133</v>
      </c>
      <c r="J45" s="19" t="n">
        <v>0.085</v>
      </c>
      <c r="K45" s="19" t="n">
        <v>0.206</v>
      </c>
      <c r="L45" s="19" t="n">
        <v>0.083</v>
      </c>
      <c r="M45" s="19" t="n">
        <v>-0.178</v>
      </c>
      <c r="N45" s="19" t="n">
        <v>-0.008</v>
      </c>
    </row>
    <row r="46" customFormat="false" ht="15" hidden="false" customHeight="false" outlineLevel="0" collapsed="false">
      <c r="A46" s="6" t="s">
        <v>174</v>
      </c>
      <c r="B46" s="6" t="n">
        <v>0</v>
      </c>
      <c r="C46" s="6" t="n">
        <f aca="false">night!AO10</f>
        <v>-0</v>
      </c>
      <c r="D46" s="6" t="n">
        <v>0</v>
      </c>
      <c r="E46" s="6" t="n">
        <f aca="false">prince!AU10</f>
        <v>-0.190687134272561</v>
      </c>
      <c r="F46" s="18"/>
      <c r="G46" s="19" t="n">
        <v>-0.133</v>
      </c>
      <c r="H46" s="19" t="n">
        <v>-0.059</v>
      </c>
      <c r="I46" s="19" t="n">
        <v>0.171</v>
      </c>
      <c r="J46" s="19" t="n">
        <v>0.072</v>
      </c>
      <c r="K46" s="19" t="n">
        <v>-0.079</v>
      </c>
      <c r="L46" s="19" t="n">
        <v>-0.115</v>
      </c>
      <c r="M46" s="19" t="n">
        <v>0.004</v>
      </c>
      <c r="N46" s="19" t="n">
        <v>-0.138</v>
      </c>
    </row>
    <row r="47" customFormat="false" ht="15" hidden="false" customHeight="false" outlineLevel="0" collapsed="false">
      <c r="A47" s="6" t="s">
        <v>175</v>
      </c>
      <c r="B47" s="6" t="n">
        <f aca="false">good!AC8</f>
        <v>-0.0391313190265643</v>
      </c>
      <c r="C47" s="6" t="n">
        <v>0</v>
      </c>
      <c r="D47" s="6" t="n">
        <v>0</v>
      </c>
      <c r="E47" s="6" t="n">
        <v>0</v>
      </c>
      <c r="F47" s="18"/>
      <c r="G47" s="19" t="n">
        <v>-0.076</v>
      </c>
      <c r="H47" s="19" t="n">
        <v>0.035</v>
      </c>
      <c r="I47" s="19" t="n">
        <v>0.131</v>
      </c>
      <c r="J47" s="19" t="n">
        <v>0.069</v>
      </c>
      <c r="K47" s="19" t="n">
        <v>-0.259</v>
      </c>
      <c r="L47" s="19" t="n">
        <v>0.034</v>
      </c>
      <c r="M47" s="19" t="n">
        <v>0.008</v>
      </c>
      <c r="N47" s="19" t="n">
        <v>0.047</v>
      </c>
    </row>
    <row r="48" customFormat="false" ht="15" hidden="false" customHeight="false" outlineLevel="0" collapsed="false">
      <c r="A48" s="6" t="s">
        <v>176</v>
      </c>
      <c r="B48" s="6" t="n">
        <f aca="false">good!AD8</f>
        <v>0.0767995378158086</v>
      </c>
      <c r="C48" s="6" t="n">
        <v>0</v>
      </c>
      <c r="D48" s="6" t="n">
        <v>0</v>
      </c>
      <c r="E48" s="6" t="n">
        <v>0</v>
      </c>
      <c r="F48" s="18"/>
      <c r="G48" s="19" t="n">
        <v>0.183</v>
      </c>
      <c r="H48" s="19" t="n">
        <v>-0.234</v>
      </c>
      <c r="I48" s="19" t="n">
        <v>-0.067</v>
      </c>
      <c r="J48" s="19" t="n">
        <v>0.067</v>
      </c>
      <c r="K48" s="19" t="n">
        <v>-0.179</v>
      </c>
      <c r="L48" s="19" t="n">
        <v>0.167</v>
      </c>
      <c r="M48" s="19" t="n">
        <v>0.042</v>
      </c>
      <c r="N48" s="19" t="n">
        <v>0.096</v>
      </c>
    </row>
    <row r="49" customFormat="false" ht="15" hidden="false" customHeight="false" outlineLevel="0" collapsed="false">
      <c r="A49" s="6" t="s">
        <v>177</v>
      </c>
      <c r="B49" s="6" t="n">
        <f aca="false">good!AC9</f>
        <v>0.0767995378158085</v>
      </c>
      <c r="C49" s="6" t="n">
        <v>0</v>
      </c>
      <c r="D49" s="6" t="n">
        <v>0</v>
      </c>
      <c r="E49" s="6" t="n">
        <v>0</v>
      </c>
      <c r="F49" s="18"/>
      <c r="G49" s="19" t="n">
        <v>-0.065</v>
      </c>
      <c r="H49" s="19" t="n">
        <v>0.092</v>
      </c>
      <c r="I49" s="19" t="n">
        <v>0.121</v>
      </c>
      <c r="J49" s="19" t="n">
        <v>0.026</v>
      </c>
      <c r="K49" s="19" t="n">
        <v>0.027</v>
      </c>
      <c r="L49" s="19" t="n">
        <v>0.031</v>
      </c>
      <c r="M49" s="19" t="n">
        <v>-0.098</v>
      </c>
      <c r="N49" s="19" t="n">
        <v>-0.017</v>
      </c>
    </row>
    <row r="50" customFormat="false" ht="15" hidden="false" customHeight="false" outlineLevel="0" collapsed="false">
      <c r="A50" s="6" t="s">
        <v>178</v>
      </c>
      <c r="B50" s="6" t="n">
        <f aca="false">good!AD9</f>
        <v>-0.484893198210905</v>
      </c>
      <c r="C50" s="6" t="n">
        <v>0</v>
      </c>
      <c r="D50" s="6" t="n">
        <v>0</v>
      </c>
      <c r="E50" s="6" t="n">
        <v>0</v>
      </c>
      <c r="F50" s="18"/>
      <c r="G50" s="19" t="n">
        <v>-0.017</v>
      </c>
      <c r="H50" s="19" t="n">
        <v>0.043</v>
      </c>
      <c r="I50" s="19" t="n">
        <v>0.113</v>
      </c>
      <c r="J50" s="19" t="n">
        <v>-0.12</v>
      </c>
      <c r="K50" s="19" t="n">
        <v>-0.014</v>
      </c>
      <c r="L50" s="19" t="n">
        <v>0.168</v>
      </c>
      <c r="M50" s="19" t="n">
        <v>-0.084</v>
      </c>
      <c r="N50" s="19" t="n">
        <v>-0.093</v>
      </c>
    </row>
    <row r="51" customFormat="false" ht="15" hidden="false" customHeight="false" outlineLevel="0" collapsed="false">
      <c r="A51" s="6" t="s">
        <v>179</v>
      </c>
      <c r="B51" s="6" t="n">
        <f aca="false">good!AC10</f>
        <v>0.484893198210905</v>
      </c>
      <c r="C51" s="6" t="n">
        <v>0</v>
      </c>
      <c r="D51" s="6" t="n">
        <v>0</v>
      </c>
      <c r="E51" s="6" t="n">
        <v>0</v>
      </c>
      <c r="F51" s="18"/>
      <c r="G51" s="19" t="n">
        <v>0.023</v>
      </c>
      <c r="H51" s="19" t="n">
        <v>0.096</v>
      </c>
      <c r="I51" s="19" t="n">
        <v>0.001</v>
      </c>
      <c r="J51" s="19" t="n">
        <v>0.15</v>
      </c>
      <c r="K51" s="19" t="n">
        <v>0.097</v>
      </c>
      <c r="L51" s="19" t="n">
        <v>0.095</v>
      </c>
      <c r="M51" s="19" t="n">
        <v>0.063</v>
      </c>
      <c r="N51" s="19" t="n">
        <v>0.264</v>
      </c>
    </row>
    <row r="52" customFormat="false" ht="15" hidden="false" customHeight="false" outlineLevel="0" collapsed="false">
      <c r="A52" s="6" t="s">
        <v>180</v>
      </c>
      <c r="B52" s="6" t="n">
        <f aca="false">good!AD10</f>
        <v>-0.247065424775202</v>
      </c>
      <c r="C52" s="6" t="n">
        <v>0</v>
      </c>
      <c r="D52" s="6" t="n">
        <v>0</v>
      </c>
      <c r="E52" s="6" t="n">
        <v>0</v>
      </c>
      <c r="F52" s="18"/>
      <c r="G52" s="19" t="n">
        <v>-0.023</v>
      </c>
      <c r="H52" s="19" t="n">
        <v>-0.227</v>
      </c>
      <c r="I52" s="19" t="n">
        <v>0.182</v>
      </c>
      <c r="J52" s="19" t="n">
        <v>-0.052</v>
      </c>
      <c r="K52" s="19" t="n">
        <v>0.012</v>
      </c>
      <c r="L52" s="19" t="n">
        <v>0.148</v>
      </c>
      <c r="M52" s="19" t="n">
        <v>-0.181</v>
      </c>
      <c r="N52" s="19" t="n">
        <v>-0.142</v>
      </c>
    </row>
    <row r="53" customFormat="false" ht="15" hidden="false" customHeight="false" outlineLevel="0" collapsed="false">
      <c r="A53" s="6" t="s">
        <v>181</v>
      </c>
      <c r="B53" s="6" t="n">
        <v>0</v>
      </c>
      <c r="C53" s="6" t="n">
        <v>0</v>
      </c>
      <c r="D53" s="6" t="n">
        <v>0</v>
      </c>
      <c r="E53" s="6" t="n">
        <f aca="false">prince!AV8</f>
        <v>0.235702260395516</v>
      </c>
      <c r="F53" s="18"/>
      <c r="G53" s="19" t="n">
        <v>-0.181</v>
      </c>
      <c r="H53" s="19" t="n">
        <v>-0.09</v>
      </c>
      <c r="I53" s="19" t="n">
        <v>0.05</v>
      </c>
      <c r="J53" s="19" t="n">
        <v>0.059</v>
      </c>
      <c r="K53" s="19" t="n">
        <v>0.031</v>
      </c>
      <c r="L53" s="19" t="n">
        <v>-0.16</v>
      </c>
      <c r="M53" s="19" t="n">
        <v>-0.262</v>
      </c>
      <c r="N53" s="19" t="n">
        <v>0.006</v>
      </c>
    </row>
    <row r="54" customFormat="false" ht="15" hidden="false" customHeight="false" outlineLevel="0" collapsed="false">
      <c r="A54" s="6" t="s">
        <v>182</v>
      </c>
      <c r="B54" s="6" t="n">
        <v>0</v>
      </c>
      <c r="C54" s="6" t="n">
        <v>0</v>
      </c>
      <c r="D54" s="6" t="n">
        <v>0</v>
      </c>
      <c r="E54" s="6" t="n">
        <f aca="false">prince!AW8</f>
        <v>-0</v>
      </c>
      <c r="F54" s="18"/>
      <c r="G54" s="19" t="n">
        <v>-0.053</v>
      </c>
      <c r="H54" s="19" t="n">
        <v>0.052</v>
      </c>
      <c r="I54" s="19" t="n">
        <v>0.079</v>
      </c>
      <c r="J54" s="19" t="n">
        <v>0.016</v>
      </c>
      <c r="K54" s="19" t="n">
        <v>0.086</v>
      </c>
      <c r="L54" s="19" t="n">
        <v>0.026</v>
      </c>
      <c r="M54" s="19" t="n">
        <v>0.06</v>
      </c>
      <c r="N54" s="19" t="n">
        <v>-0.08</v>
      </c>
    </row>
    <row r="55" customFormat="false" ht="15" hidden="false" customHeight="false" outlineLevel="0" collapsed="false">
      <c r="A55" s="6" t="s">
        <v>183</v>
      </c>
      <c r="B55" s="6" t="n">
        <v>0</v>
      </c>
      <c r="C55" s="6" t="n">
        <v>0</v>
      </c>
      <c r="D55" s="6" t="n">
        <v>0</v>
      </c>
      <c r="E55" s="6" t="n">
        <f aca="false">prince!AV9</f>
        <v>0.235702260395516</v>
      </c>
      <c r="F55" s="18"/>
      <c r="G55" s="19" t="n">
        <v>-0.02</v>
      </c>
      <c r="H55" s="19" t="n">
        <v>0.022</v>
      </c>
      <c r="I55" s="19" t="n">
        <v>0.093</v>
      </c>
      <c r="J55" s="19" t="n">
        <v>-0.045</v>
      </c>
      <c r="K55" s="19" t="n">
        <v>0.059</v>
      </c>
      <c r="L55" s="19" t="n">
        <v>-0.03</v>
      </c>
      <c r="M55" s="19" t="n">
        <v>-0.013</v>
      </c>
      <c r="N55" s="19" t="n">
        <v>0.094</v>
      </c>
    </row>
    <row r="56" customFormat="false" ht="15" hidden="false" customHeight="false" outlineLevel="0" collapsed="false">
      <c r="A56" s="6" t="s">
        <v>184</v>
      </c>
      <c r="B56" s="6" t="n">
        <v>0</v>
      </c>
      <c r="C56" s="6" t="n">
        <v>0</v>
      </c>
      <c r="D56" s="6" t="n">
        <v>0</v>
      </c>
      <c r="E56" s="6" t="n">
        <f aca="false">prince!AW9</f>
        <v>-0</v>
      </c>
      <c r="F56" s="18"/>
      <c r="G56" s="19" t="n">
        <v>-0.226</v>
      </c>
      <c r="H56" s="19" t="n">
        <v>-0.147</v>
      </c>
      <c r="I56" s="19" t="n">
        <v>-0.168</v>
      </c>
      <c r="J56" s="19" t="n">
        <v>-0.264</v>
      </c>
      <c r="K56" s="19" t="n">
        <v>-0.077</v>
      </c>
      <c r="L56" s="19" t="n">
        <v>0.085</v>
      </c>
      <c r="M56" s="19" t="n">
        <v>-0.032</v>
      </c>
      <c r="N56" s="19" t="n">
        <v>0.022</v>
      </c>
    </row>
    <row r="57" customFormat="false" ht="15" hidden="false" customHeight="false" outlineLevel="0" collapsed="false">
      <c r="A57" s="6" t="s">
        <v>185</v>
      </c>
      <c r="B57" s="6" t="n">
        <v>0</v>
      </c>
      <c r="C57" s="6" t="n">
        <v>0</v>
      </c>
      <c r="D57" s="6" t="n">
        <v>0</v>
      </c>
      <c r="E57" s="6" t="n">
        <f aca="false">prince!AV10</f>
        <v>0.235702260395516</v>
      </c>
      <c r="F57" s="18"/>
      <c r="G57" s="19" t="n">
        <v>0.123</v>
      </c>
      <c r="H57" s="19" t="n">
        <v>0.15</v>
      </c>
      <c r="I57" s="19" t="n">
        <v>-0.008</v>
      </c>
      <c r="J57" s="19" t="n">
        <v>0.153</v>
      </c>
      <c r="K57" s="19" t="n">
        <v>0.01</v>
      </c>
      <c r="L57" s="19" t="n">
        <v>-0.095</v>
      </c>
      <c r="M57" s="19" t="n">
        <v>-0.067</v>
      </c>
      <c r="N57" s="19" t="n">
        <v>-0.168</v>
      </c>
    </row>
    <row r="58" customFormat="false" ht="15" hidden="false" customHeight="false" outlineLevel="0" collapsed="false">
      <c r="A58" s="6" t="s">
        <v>186</v>
      </c>
      <c r="B58" s="6" t="n">
        <v>0</v>
      </c>
      <c r="C58" s="6" t="n">
        <v>0</v>
      </c>
      <c r="D58" s="6" t="n">
        <v>0</v>
      </c>
      <c r="E58" s="6" t="n">
        <f aca="false">prince!AW10</f>
        <v>-0</v>
      </c>
      <c r="F58" s="18"/>
      <c r="G58" s="19" t="n">
        <v>-0.101</v>
      </c>
      <c r="H58" s="19" t="n">
        <v>-0.041</v>
      </c>
      <c r="I58" s="19" t="n">
        <v>0.091</v>
      </c>
      <c r="J58" s="19" t="n">
        <v>0.195</v>
      </c>
      <c r="K58" s="19" t="n">
        <v>-0.157</v>
      </c>
      <c r="L58" s="19" t="n">
        <v>0.044</v>
      </c>
      <c r="M58" s="19" t="n">
        <v>-0.118</v>
      </c>
      <c r="N58" s="19" t="n">
        <v>0.054</v>
      </c>
    </row>
    <row r="59" customFormat="false" ht="15" hidden="false" customHeight="false" outlineLevel="0" collapsed="false">
      <c r="A59" s="6" t="s">
        <v>187</v>
      </c>
      <c r="B59" s="6" t="n">
        <v>0</v>
      </c>
      <c r="C59" s="6" t="n">
        <v>0</v>
      </c>
      <c r="D59" s="6" t="n">
        <v>0</v>
      </c>
      <c r="E59" s="6" t="n">
        <f aca="false">prince!AX8</f>
        <v>-0.224166170654652</v>
      </c>
      <c r="F59" s="18"/>
      <c r="G59" s="19" t="n">
        <v>-0.015</v>
      </c>
      <c r="H59" s="19" t="n">
        <v>-0.207</v>
      </c>
      <c r="I59" s="19" t="n">
        <v>0.105</v>
      </c>
      <c r="J59" s="19" t="n">
        <v>-0.069</v>
      </c>
      <c r="K59" s="19" t="n">
        <v>-0.06</v>
      </c>
      <c r="L59" s="19" t="n">
        <v>-0.121</v>
      </c>
      <c r="M59" s="19" t="n">
        <v>-0.074</v>
      </c>
      <c r="N59" s="19" t="n">
        <v>0.048</v>
      </c>
    </row>
    <row r="60" customFormat="false" ht="15" hidden="false" customHeight="false" outlineLevel="0" collapsed="false">
      <c r="A60" s="6" t="s">
        <v>188</v>
      </c>
      <c r="B60" s="6" t="n">
        <v>0</v>
      </c>
      <c r="C60" s="6" t="n">
        <v>0</v>
      </c>
      <c r="D60" s="6" t="n">
        <v>0</v>
      </c>
      <c r="E60" s="6" t="n">
        <f aca="false">prince!AY8</f>
        <v>-0.0728360040748035</v>
      </c>
      <c r="F60" s="18"/>
      <c r="G60" s="19" t="n">
        <v>-0.021</v>
      </c>
      <c r="H60" s="19" t="n">
        <v>0.037</v>
      </c>
      <c r="I60" s="19" t="n">
        <v>0.041</v>
      </c>
      <c r="J60" s="19" t="n">
        <v>0.15</v>
      </c>
      <c r="K60" s="19" t="n">
        <v>-0.039</v>
      </c>
      <c r="L60" s="19" t="n">
        <v>-0.167</v>
      </c>
      <c r="M60" s="19" t="n">
        <v>0.121</v>
      </c>
      <c r="N60" s="19" t="n">
        <v>-0.038</v>
      </c>
    </row>
    <row r="61" customFormat="false" ht="15" hidden="false" customHeight="false" outlineLevel="0" collapsed="false">
      <c r="A61" s="6" t="s">
        <v>189</v>
      </c>
      <c r="B61" s="6" t="n">
        <v>0</v>
      </c>
      <c r="C61" s="6" t="n">
        <v>0</v>
      </c>
      <c r="D61" s="6" t="n">
        <v>0</v>
      </c>
      <c r="E61" s="6" t="n">
        <f aca="false">prince!AX9</f>
        <v>0.138542312592484</v>
      </c>
      <c r="F61" s="18"/>
      <c r="G61" s="19" t="n">
        <v>0.126</v>
      </c>
      <c r="H61" s="19" t="n">
        <v>0.043</v>
      </c>
      <c r="I61" s="19" t="n">
        <v>-0.015</v>
      </c>
      <c r="J61" s="19" t="n">
        <v>0.039</v>
      </c>
      <c r="K61" s="19" t="n">
        <v>0.221</v>
      </c>
      <c r="L61" s="19" t="n">
        <v>0.235</v>
      </c>
      <c r="M61" s="19" t="n">
        <v>0.008</v>
      </c>
      <c r="N61" s="19" t="n">
        <v>0.018</v>
      </c>
    </row>
    <row r="62" customFormat="false" ht="15" hidden="false" customHeight="false" outlineLevel="0" collapsed="false">
      <c r="A62" s="6" t="s">
        <v>190</v>
      </c>
      <c r="B62" s="6" t="n">
        <v>0</v>
      </c>
      <c r="C62" s="6" t="n">
        <v>0</v>
      </c>
      <c r="D62" s="6" t="n">
        <v>0</v>
      </c>
      <c r="E62" s="6" t="n">
        <f aca="false">prince!AY9</f>
        <v>-0.190687134272561</v>
      </c>
      <c r="F62" s="18"/>
      <c r="G62" s="19" t="n">
        <v>0.122</v>
      </c>
      <c r="H62" s="19" t="n">
        <v>-0.096</v>
      </c>
      <c r="I62" s="19" t="n">
        <v>0.038</v>
      </c>
      <c r="J62" s="19" t="n">
        <v>-0.003</v>
      </c>
      <c r="K62" s="19" t="n">
        <v>0.036</v>
      </c>
      <c r="L62" s="19" t="n">
        <v>-0.094</v>
      </c>
      <c r="M62" s="19" t="n">
        <v>-0.18</v>
      </c>
      <c r="N62" s="19" t="n">
        <v>-0.235</v>
      </c>
    </row>
    <row r="63" customFormat="false" ht="15" hidden="false" customHeight="false" outlineLevel="0" collapsed="false">
      <c r="A63" s="6" t="s">
        <v>191</v>
      </c>
      <c r="B63" s="6" t="n">
        <v>0</v>
      </c>
      <c r="C63" s="6" t="n">
        <v>0</v>
      </c>
      <c r="D63" s="6" t="n">
        <v>0</v>
      </c>
      <c r="E63" s="6" t="n">
        <f aca="false">prince!AX10</f>
        <v>0.224166170654652</v>
      </c>
      <c r="F63" s="18"/>
      <c r="G63" s="19" t="n">
        <v>-0.127</v>
      </c>
      <c r="H63" s="19" t="n">
        <v>-0.052</v>
      </c>
      <c r="I63" s="19" t="n">
        <v>-0.033</v>
      </c>
      <c r="J63" s="19" t="n">
        <v>0.219</v>
      </c>
      <c r="K63" s="19" t="n">
        <v>0.125</v>
      </c>
      <c r="L63" s="19" t="n">
        <v>-0.109</v>
      </c>
      <c r="M63" s="19" t="n">
        <v>0.039</v>
      </c>
      <c r="N63" s="19" t="n">
        <v>-0.046</v>
      </c>
    </row>
    <row r="64" customFormat="false" ht="15" hidden="false" customHeight="false" outlineLevel="0" collapsed="false">
      <c r="A64" s="6" t="s">
        <v>192</v>
      </c>
      <c r="B64" s="6" t="n">
        <v>0</v>
      </c>
      <c r="C64" s="6" t="n">
        <v>0</v>
      </c>
      <c r="D64" s="6" t="n">
        <v>0</v>
      </c>
      <c r="E64" s="6" t="n">
        <f aca="false">prince!AY10</f>
        <v>-0.0728360040748035</v>
      </c>
      <c r="F64" s="18"/>
      <c r="G64" s="19" t="n">
        <v>-0.032</v>
      </c>
      <c r="H64" s="19" t="n">
        <v>0.021</v>
      </c>
      <c r="I64" s="19" t="n">
        <v>0.07</v>
      </c>
      <c r="J64" s="19" t="n">
        <v>-0.038</v>
      </c>
      <c r="K64" s="19" t="n">
        <v>0.12</v>
      </c>
      <c r="L64" s="19" t="n">
        <v>-0.129</v>
      </c>
      <c r="M64" s="19" t="n">
        <v>0.001</v>
      </c>
      <c r="N64" s="19" t="n">
        <v>0.294</v>
      </c>
    </row>
    <row r="65" customFormat="false" ht="15" hidden="false" customHeight="false" outlineLevel="0" collapsed="false">
      <c r="A65" s="6" t="s">
        <v>193</v>
      </c>
      <c r="B65" s="6" t="n">
        <v>0</v>
      </c>
      <c r="C65" s="6" t="n">
        <v>0</v>
      </c>
      <c r="D65" s="6" t="n">
        <f aca="false">sweet!AG8</f>
        <v>0.248639541642298</v>
      </c>
      <c r="E65" s="6" t="n">
        <v>0</v>
      </c>
      <c r="F65" s="18"/>
      <c r="G65" s="19" t="n">
        <v>0.025</v>
      </c>
      <c r="H65" s="19" t="n">
        <v>0.162</v>
      </c>
      <c r="I65" s="19" t="n">
        <v>0.01</v>
      </c>
      <c r="J65" s="19" t="n">
        <v>0.066</v>
      </c>
      <c r="K65" s="19" t="n">
        <v>-0.006</v>
      </c>
      <c r="L65" s="19" t="n">
        <v>-0.019</v>
      </c>
      <c r="M65" s="19" t="n">
        <v>-0.088</v>
      </c>
      <c r="N65" s="19" t="n">
        <v>0.049</v>
      </c>
    </row>
    <row r="66" customFormat="false" ht="15" hidden="false" customHeight="false" outlineLevel="0" collapsed="false">
      <c r="A66" s="6" t="s">
        <v>194</v>
      </c>
      <c r="B66" s="6" t="n">
        <v>0</v>
      </c>
      <c r="C66" s="6" t="n">
        <v>0</v>
      </c>
      <c r="D66" s="6" t="n">
        <f aca="false">sweet!AH8</f>
        <v>-0</v>
      </c>
      <c r="E66" s="6" t="n">
        <v>0</v>
      </c>
      <c r="F66" s="18"/>
      <c r="G66" s="19" t="n">
        <v>-0.096</v>
      </c>
      <c r="H66" s="19" t="n">
        <v>0.075</v>
      </c>
      <c r="I66" s="19" t="n">
        <v>0.123</v>
      </c>
      <c r="J66" s="19" t="n">
        <v>0.042</v>
      </c>
      <c r="K66" s="19" t="n">
        <v>-0.032</v>
      </c>
      <c r="L66" s="19" t="n">
        <v>0.051</v>
      </c>
      <c r="M66" s="19" t="n">
        <v>-0.035</v>
      </c>
      <c r="N66" s="19" t="n">
        <v>0.106</v>
      </c>
    </row>
    <row r="67" customFormat="false" ht="15" hidden="false" customHeight="false" outlineLevel="0" collapsed="false">
      <c r="A67" s="6" t="s">
        <v>195</v>
      </c>
      <c r="B67" s="6" t="n">
        <v>0</v>
      </c>
      <c r="C67" s="6" t="n">
        <v>0</v>
      </c>
      <c r="D67" s="6" t="n">
        <f aca="false">sweet!AG9</f>
        <v>0.248639541642298</v>
      </c>
      <c r="E67" s="6" t="n">
        <v>0</v>
      </c>
      <c r="F67" s="18"/>
      <c r="G67" s="19" t="n">
        <v>-0.207</v>
      </c>
      <c r="H67" s="19" t="n">
        <v>-0.038</v>
      </c>
      <c r="I67" s="19" t="n">
        <v>-0.225</v>
      </c>
      <c r="J67" s="19" t="n">
        <v>-0.169</v>
      </c>
      <c r="K67" s="19" t="n">
        <v>0.154</v>
      </c>
      <c r="L67" s="19" t="n">
        <v>0.101</v>
      </c>
      <c r="M67" s="19" t="n">
        <v>-0.081</v>
      </c>
      <c r="N67" s="19" t="n">
        <v>-0.17</v>
      </c>
    </row>
    <row r="68" customFormat="false" ht="15" hidden="false" customHeight="false" outlineLevel="0" collapsed="false">
      <c r="A68" s="6" t="s">
        <v>196</v>
      </c>
      <c r="B68" s="6" t="n">
        <v>0</v>
      </c>
      <c r="C68" s="6" t="n">
        <v>0</v>
      </c>
      <c r="D68" s="6" t="n">
        <f aca="false">sweet!AH9</f>
        <v>-0</v>
      </c>
      <c r="E68" s="6" t="n">
        <v>0</v>
      </c>
      <c r="F68" s="18"/>
      <c r="G68" s="19" t="n">
        <v>-0.336</v>
      </c>
      <c r="H68" s="19" t="n">
        <v>-0.062</v>
      </c>
      <c r="I68" s="19" t="n">
        <v>0.274</v>
      </c>
      <c r="J68" s="19" t="n">
        <v>0.049</v>
      </c>
      <c r="K68" s="19" t="n">
        <v>-0.063</v>
      </c>
      <c r="L68" s="19" t="n">
        <v>0.053</v>
      </c>
      <c r="M68" s="19" t="n">
        <v>-0.177</v>
      </c>
      <c r="N68" s="19" t="n">
        <v>-0.034</v>
      </c>
    </row>
    <row r="69" customFormat="false" ht="15" hidden="false" customHeight="false" outlineLevel="0" collapsed="false">
      <c r="A69" s="6" t="s">
        <v>197</v>
      </c>
      <c r="B69" s="6" t="n">
        <v>0</v>
      </c>
      <c r="C69" s="6" t="n">
        <v>0</v>
      </c>
      <c r="D69" s="6" t="n">
        <f aca="false">sweet!AG10</f>
        <v>0.248639541642298</v>
      </c>
      <c r="E69" s="6" t="n">
        <v>0</v>
      </c>
      <c r="F69" s="18"/>
      <c r="G69" s="19" t="n">
        <v>0.011</v>
      </c>
      <c r="H69" s="19" t="n">
        <v>-0.01</v>
      </c>
      <c r="I69" s="19" t="n">
        <v>0.09</v>
      </c>
      <c r="J69" s="19" t="n">
        <v>0.039</v>
      </c>
      <c r="K69" s="19" t="n">
        <v>0.076</v>
      </c>
      <c r="L69" s="19" t="n">
        <v>-0.078</v>
      </c>
      <c r="M69" s="19" t="n">
        <v>0.102</v>
      </c>
      <c r="N69" s="19" t="n">
        <v>0.184</v>
      </c>
    </row>
    <row r="70" customFormat="false" ht="15" hidden="false" customHeight="false" outlineLevel="0" collapsed="false">
      <c r="A70" s="6" t="s">
        <v>198</v>
      </c>
      <c r="B70" s="6" t="n">
        <v>0</v>
      </c>
      <c r="C70" s="6" t="n">
        <v>0</v>
      </c>
      <c r="D70" s="6" t="n">
        <f aca="false">sweet!AH10</f>
        <v>-0</v>
      </c>
      <c r="E70" s="6" t="n">
        <v>0</v>
      </c>
      <c r="F70" s="18"/>
      <c r="G70" s="19" t="n">
        <v>-0.11</v>
      </c>
      <c r="H70" s="19" t="n">
        <v>-0.101</v>
      </c>
      <c r="I70" s="19" t="n">
        <v>0.151</v>
      </c>
      <c r="J70" s="19" t="n">
        <v>-0.022</v>
      </c>
      <c r="K70" s="19" t="n">
        <v>0.159</v>
      </c>
      <c r="L70" s="19" t="n">
        <v>-0.05</v>
      </c>
      <c r="M70" s="19" t="n">
        <v>0.165</v>
      </c>
      <c r="N70" s="19" t="n">
        <v>0.015</v>
      </c>
    </row>
    <row r="71" customFormat="false" ht="15" hidden="false" customHeight="false" outlineLevel="0" collapsed="false">
      <c r="A71" s="6" t="s">
        <v>199</v>
      </c>
      <c r="B71" s="6" t="n">
        <v>0</v>
      </c>
      <c r="C71" s="6" t="n">
        <f aca="false">night!AP8</f>
        <v>0.0797878448606161</v>
      </c>
      <c r="D71" s="6" t="n">
        <f aca="false">sweet!AI8</f>
        <v>0.0768338438410674</v>
      </c>
      <c r="E71" s="6" t="n">
        <v>0</v>
      </c>
      <c r="F71" s="18"/>
      <c r="G71" s="19" t="n">
        <v>0.029</v>
      </c>
      <c r="H71" s="19" t="n">
        <v>0.177</v>
      </c>
      <c r="I71" s="19" t="n">
        <v>-0.041</v>
      </c>
      <c r="J71" s="19" t="n">
        <v>-0.107</v>
      </c>
      <c r="K71" s="19" t="n">
        <v>-0.051</v>
      </c>
      <c r="L71" s="19" t="n">
        <v>0.051</v>
      </c>
      <c r="M71" s="19" t="n">
        <v>-0.177</v>
      </c>
      <c r="N71" s="19" t="n">
        <v>0.072</v>
      </c>
    </row>
    <row r="72" customFormat="false" ht="15" hidden="false" customHeight="false" outlineLevel="0" collapsed="false">
      <c r="A72" s="6" t="s">
        <v>200</v>
      </c>
      <c r="B72" s="6" t="n">
        <v>0</v>
      </c>
      <c r="C72" s="6" t="n">
        <f aca="false">night!AQ8</f>
        <v>0.245561736594212</v>
      </c>
      <c r="D72" s="6" t="n">
        <f aca="false">sweet!AJ8</f>
        <v>0.236470256287548</v>
      </c>
      <c r="E72" s="6" t="n">
        <v>0</v>
      </c>
      <c r="F72" s="18"/>
      <c r="G72" s="19" t="n">
        <v>-0.061</v>
      </c>
      <c r="H72" s="19" t="n">
        <v>0.13</v>
      </c>
      <c r="I72" s="19" t="n">
        <v>-0.271</v>
      </c>
      <c r="J72" s="19" t="n">
        <v>-0.089</v>
      </c>
      <c r="K72" s="19" t="n">
        <v>-0.191</v>
      </c>
      <c r="L72" s="19" t="n">
        <v>-0.094</v>
      </c>
      <c r="M72" s="19" t="n">
        <v>0.028</v>
      </c>
      <c r="N72" s="19" t="n">
        <v>-0.02</v>
      </c>
    </row>
    <row r="73" customFormat="false" ht="15" hidden="false" customHeight="false" outlineLevel="0" collapsed="false">
      <c r="A73" s="6" t="s">
        <v>201</v>
      </c>
      <c r="B73" s="6" t="n">
        <v>0</v>
      </c>
      <c r="C73" s="6" t="n">
        <f aca="false">night!AP9</f>
        <v>-0.208887289734197</v>
      </c>
      <c r="D73" s="6" t="n">
        <f aca="false">sweet!AI9</f>
        <v>-0.201153614662217</v>
      </c>
      <c r="E73" s="6" t="n">
        <v>0</v>
      </c>
      <c r="F73" s="18"/>
      <c r="G73" s="19" t="n">
        <v>-0.029</v>
      </c>
      <c r="H73" s="19" t="n">
        <v>-0.018</v>
      </c>
      <c r="I73" s="19" t="n">
        <v>0.023</v>
      </c>
      <c r="J73" s="19" t="n">
        <v>-0.114</v>
      </c>
      <c r="K73" s="19" t="n">
        <v>0.08</v>
      </c>
      <c r="L73" s="19" t="n">
        <v>0.075</v>
      </c>
      <c r="M73" s="19" t="n">
        <v>0.044</v>
      </c>
      <c r="N73" s="19" t="n">
        <v>0.063</v>
      </c>
    </row>
    <row r="74" customFormat="false" ht="15" hidden="false" customHeight="false" outlineLevel="0" collapsed="false">
      <c r="A74" s="6" t="s">
        <v>202</v>
      </c>
      <c r="B74" s="6" t="n">
        <v>0</v>
      </c>
      <c r="C74" s="6" t="n">
        <f aca="false">night!AQ9</f>
        <v>0.151765499551672</v>
      </c>
      <c r="D74" s="6" t="n">
        <f aca="false">sweet!AJ9</f>
        <v>0.146146655714103</v>
      </c>
      <c r="E74" s="6" t="n">
        <v>0</v>
      </c>
      <c r="F74" s="18"/>
      <c r="G74" s="19" t="n">
        <v>0.034</v>
      </c>
      <c r="H74" s="19" t="n">
        <v>0.23</v>
      </c>
      <c r="I74" s="19" t="n">
        <v>-0.01</v>
      </c>
      <c r="J74" s="19" t="n">
        <v>-0.035</v>
      </c>
      <c r="K74" s="19" t="n">
        <v>-0.085</v>
      </c>
      <c r="L74" s="19" t="n">
        <v>-0.117</v>
      </c>
      <c r="M74" s="19" t="n">
        <v>-0.141</v>
      </c>
      <c r="N74" s="19" t="n">
        <v>-0.101</v>
      </c>
    </row>
    <row r="75" customFormat="false" ht="15" hidden="false" customHeight="false" outlineLevel="0" collapsed="false">
      <c r="A75" s="6" t="s">
        <v>203</v>
      </c>
      <c r="B75" s="6" t="n">
        <v>0</v>
      </c>
      <c r="C75" s="6" t="n">
        <f aca="false">night!AP10</f>
        <v>0.0797878448606161</v>
      </c>
      <c r="D75" s="6" t="n">
        <f aca="false">sweet!AI10</f>
        <v>0.0768338438410675</v>
      </c>
      <c r="E75" s="6" t="n">
        <v>0</v>
      </c>
      <c r="F75" s="18"/>
      <c r="G75" s="19" t="n">
        <v>-0.008</v>
      </c>
      <c r="H75" s="19" t="n">
        <v>0.038</v>
      </c>
      <c r="I75" s="19" t="n">
        <v>0.006</v>
      </c>
      <c r="J75" s="19" t="n">
        <v>-0.087</v>
      </c>
      <c r="K75" s="19" t="n">
        <v>0.102</v>
      </c>
      <c r="L75" s="19" t="n">
        <v>0.084</v>
      </c>
      <c r="M75" s="19" t="n">
        <v>-0.018</v>
      </c>
      <c r="N75" s="19" t="n">
        <v>-0.074</v>
      </c>
    </row>
    <row r="76" customFormat="false" ht="15" hidden="false" customHeight="false" outlineLevel="0" collapsed="false">
      <c r="A76" s="6" t="s">
        <v>204</v>
      </c>
      <c r="B76" s="6" t="n">
        <v>0</v>
      </c>
      <c r="C76" s="6" t="n">
        <f aca="false">night!AQ10</f>
        <v>-0.245561736594212</v>
      </c>
      <c r="D76" s="6" t="n">
        <f aca="false">sweet!AJ10</f>
        <v>-0.236470256287548</v>
      </c>
      <c r="E76" s="6" t="n">
        <v>0</v>
      </c>
      <c r="F76" s="18"/>
      <c r="G76" s="19" t="n">
        <v>0.062</v>
      </c>
      <c r="H76" s="19" t="n">
        <v>0.021</v>
      </c>
      <c r="I76" s="19" t="n">
        <v>-0.164</v>
      </c>
      <c r="J76" s="19" t="n">
        <v>-0.008</v>
      </c>
      <c r="K76" s="19" t="n">
        <v>0.03</v>
      </c>
      <c r="L76" s="19" t="n">
        <v>-0.102</v>
      </c>
      <c r="M76" s="19" t="n">
        <v>0.021</v>
      </c>
      <c r="N76" s="19" t="n">
        <v>-0.165</v>
      </c>
    </row>
    <row r="77" customFormat="false" ht="15" hidden="false" customHeight="false" outlineLevel="0" collapsed="false">
      <c r="A77" s="6" t="s">
        <v>205</v>
      </c>
      <c r="B77" s="6" t="n">
        <v>0</v>
      </c>
      <c r="C77" s="6" t="n">
        <v>0</v>
      </c>
      <c r="D77" s="6" t="n">
        <f aca="false">sweet!AK8</f>
        <v>-0.236470256287548</v>
      </c>
      <c r="E77" s="6" t="n">
        <v>0</v>
      </c>
      <c r="F77" s="18"/>
      <c r="G77" s="19" t="n">
        <v>0.151</v>
      </c>
      <c r="H77" s="19" t="n">
        <v>0.141</v>
      </c>
      <c r="I77" s="19" t="n">
        <v>-0.029</v>
      </c>
      <c r="J77" s="19" t="n">
        <v>0.041</v>
      </c>
      <c r="K77" s="19" t="n">
        <v>-0.273</v>
      </c>
      <c r="L77" s="19" t="n">
        <v>-0.131</v>
      </c>
      <c r="M77" s="19" t="n">
        <v>-0.033</v>
      </c>
      <c r="N77" s="19" t="n">
        <v>-0.121</v>
      </c>
    </row>
    <row r="78" customFormat="false" ht="15" hidden="false" customHeight="false" outlineLevel="0" collapsed="false">
      <c r="A78" s="6" t="s">
        <v>206</v>
      </c>
      <c r="B78" s="6" t="n">
        <v>0</v>
      </c>
      <c r="C78" s="6" t="n">
        <v>0</v>
      </c>
      <c r="D78" s="6" t="n">
        <f aca="false">sweet!AL8</f>
        <v>-0.0768338438410676</v>
      </c>
      <c r="E78" s="6" t="n">
        <v>0</v>
      </c>
      <c r="F78" s="18"/>
      <c r="G78" s="19" t="n">
        <v>0.081</v>
      </c>
      <c r="H78" s="19" t="n">
        <v>0.226</v>
      </c>
      <c r="I78" s="19" t="n">
        <v>-0.133</v>
      </c>
      <c r="J78" s="19" t="n">
        <v>-0.095</v>
      </c>
      <c r="K78" s="19" t="n">
        <v>0.027</v>
      </c>
      <c r="L78" s="19" t="n">
        <v>0.182</v>
      </c>
      <c r="M78" s="19" t="n">
        <v>-0.138</v>
      </c>
      <c r="N78" s="19" t="n">
        <v>0.028</v>
      </c>
    </row>
    <row r="79" customFormat="false" ht="15" hidden="false" customHeight="false" outlineLevel="0" collapsed="false">
      <c r="A79" s="6" t="s">
        <v>207</v>
      </c>
      <c r="B79" s="6" t="n">
        <v>0</v>
      </c>
      <c r="C79" s="6" t="n">
        <v>0</v>
      </c>
      <c r="D79" s="6" t="n">
        <f aca="false">sweet!AK9</f>
        <v>0.146146655714103</v>
      </c>
      <c r="E79" s="6" t="n">
        <v>0</v>
      </c>
      <c r="F79" s="18"/>
      <c r="G79" s="19" t="n">
        <v>0.206</v>
      </c>
      <c r="H79" s="19" t="n">
        <v>-0.187</v>
      </c>
      <c r="I79" s="19" t="n">
        <v>-0.145</v>
      </c>
      <c r="J79" s="19" t="n">
        <v>-0.048</v>
      </c>
      <c r="K79" s="19" t="n">
        <v>-0.059</v>
      </c>
      <c r="L79" s="19" t="n">
        <v>0.092</v>
      </c>
      <c r="M79" s="19" t="n">
        <v>0.027</v>
      </c>
      <c r="N79" s="19" t="n">
        <v>-0.201</v>
      </c>
    </row>
    <row r="80" customFormat="false" ht="15" hidden="false" customHeight="false" outlineLevel="0" collapsed="false">
      <c r="A80" s="6" t="s">
        <v>208</v>
      </c>
      <c r="B80" s="6" t="n">
        <v>0</v>
      </c>
      <c r="C80" s="6" t="n">
        <v>0</v>
      </c>
      <c r="D80" s="6" t="n">
        <f aca="false">sweet!AL9</f>
        <v>-0.201153614662217</v>
      </c>
      <c r="E80" s="6" t="n">
        <v>0</v>
      </c>
      <c r="F80" s="18"/>
      <c r="G80" s="19" t="n">
        <v>0.058</v>
      </c>
      <c r="H80" s="19" t="n">
        <v>-0.065</v>
      </c>
      <c r="I80" s="19" t="n">
        <v>0.144</v>
      </c>
      <c r="J80" s="19" t="n">
        <v>-0.071</v>
      </c>
      <c r="K80" s="19" t="n">
        <v>-0.072</v>
      </c>
      <c r="L80" s="19" t="n">
        <v>0.061</v>
      </c>
      <c r="M80" s="19" t="n">
        <v>0.086</v>
      </c>
      <c r="N80" s="19" t="n">
        <v>0.051</v>
      </c>
    </row>
    <row r="81" customFormat="false" ht="15" hidden="false" customHeight="false" outlineLevel="0" collapsed="false">
      <c r="A81" s="6" t="s">
        <v>209</v>
      </c>
      <c r="B81" s="6" t="n">
        <v>0</v>
      </c>
      <c r="C81" s="6" t="n">
        <v>0</v>
      </c>
      <c r="D81" s="6" t="n">
        <f aca="false">sweet!AK10</f>
        <v>0.236470256287548</v>
      </c>
      <c r="E81" s="6" t="n">
        <v>0</v>
      </c>
      <c r="F81" s="18"/>
      <c r="G81" s="19" t="n">
        <v>-0.191</v>
      </c>
      <c r="H81" s="19" t="n">
        <v>0.061</v>
      </c>
      <c r="I81" s="19" t="n">
        <v>-0.117</v>
      </c>
      <c r="J81" s="19" t="n">
        <v>0.027</v>
      </c>
      <c r="K81" s="19" t="n">
        <v>-0.161</v>
      </c>
      <c r="L81" s="19" t="n">
        <v>0.051</v>
      </c>
      <c r="M81" s="19" t="n">
        <v>-0.091</v>
      </c>
      <c r="N81" s="19" t="n">
        <v>-0.145</v>
      </c>
    </row>
    <row r="82" customFormat="false" ht="15" hidden="false" customHeight="false" outlineLevel="0" collapsed="false">
      <c r="A82" s="6" t="s">
        <v>210</v>
      </c>
      <c r="B82" s="6" t="n">
        <v>0</v>
      </c>
      <c r="C82" s="6" t="n">
        <v>0</v>
      </c>
      <c r="D82" s="6" t="n">
        <f aca="false">sweet!AL10</f>
        <v>-0.0768338438410675</v>
      </c>
      <c r="E82" s="6" t="n">
        <v>0</v>
      </c>
      <c r="F82" s="18"/>
      <c r="G82" s="19" t="n">
        <v>0.081</v>
      </c>
      <c r="H82" s="19" t="n">
        <v>0.027</v>
      </c>
      <c r="I82" s="19" t="n">
        <v>-0.07</v>
      </c>
      <c r="J82" s="19" t="n">
        <v>0.164</v>
      </c>
      <c r="K82" s="19" t="n">
        <v>-0.05</v>
      </c>
      <c r="L82" s="19" t="n">
        <v>0.004</v>
      </c>
      <c r="M82" s="19" t="n">
        <v>0.03</v>
      </c>
      <c r="N82" s="19" t="n">
        <v>-0.07</v>
      </c>
    </row>
    <row r="84" customFormat="false" ht="15" hidden="false" customHeight="false" outlineLevel="0" collapsed="false">
      <c r="A84" s="1" t="s">
        <v>211</v>
      </c>
    </row>
    <row r="85" customFormat="false" ht="15" hidden="false" customHeight="false" outlineLevel="0" collapsed="false">
      <c r="A85" s="17" t="s">
        <v>212</v>
      </c>
      <c r="B85" s="17" t="s">
        <v>121</v>
      </c>
      <c r="C85" s="17" t="s">
        <v>122</v>
      </c>
      <c r="D85" s="17" t="s">
        <v>123</v>
      </c>
      <c r="E85" s="17" t="s">
        <v>124</v>
      </c>
    </row>
    <row r="86" customFormat="false" ht="15" hidden="false" customHeight="false" outlineLevel="0" collapsed="false">
      <c r="A86" s="6" t="s">
        <v>213</v>
      </c>
      <c r="B86" s="6" t="n">
        <f aca="false">SUMPRODUCT(B5:B82,G5:G82)</f>
        <v>0.00950990610836475</v>
      </c>
      <c r="C86" s="6" t="n">
        <f aca="false">SUMPRODUCT(C5:C82,G5:G82)</f>
        <v>-0.0101951819287956</v>
      </c>
      <c r="D86" s="6" t="n">
        <f aca="false">SUMPRODUCT(D5:D82,G5:G82)</f>
        <v>-0.116314645030399</v>
      </c>
      <c r="E86" s="6" t="n">
        <f aca="false">SUMPRODUCT(E5:E82,G5:G82)</f>
        <v>-0.0669831505648093</v>
      </c>
    </row>
    <row r="87" customFormat="false" ht="15" hidden="false" customHeight="false" outlineLevel="0" collapsed="false">
      <c r="A87" s="6" t="s">
        <v>214</v>
      </c>
      <c r="B87" s="6" t="n">
        <f aca="false">SUMPRODUCT(B5:B82,H5:H82)</f>
        <v>-0.0518947455119483</v>
      </c>
      <c r="C87" s="6" t="n">
        <f aca="false">SUMPRODUCT(C5:C82,H5:H82)</f>
        <v>-0.0188409251818007</v>
      </c>
      <c r="D87" s="6" t="n">
        <f aca="false">SUMPRODUCT(D5:D82,H5:H82)</f>
        <v>0.0259680253641972</v>
      </c>
      <c r="E87" s="6" t="n">
        <f aca="false">SUMPRODUCT(E5:E82,H5:H82)</f>
        <v>0.0965221762546613</v>
      </c>
    </row>
    <row r="88" customFormat="false" ht="15" hidden="false" customHeight="false" outlineLevel="0" collapsed="false">
      <c r="A88" s="6" t="s">
        <v>215</v>
      </c>
      <c r="B88" s="6" t="n">
        <f aca="false">SUMPRODUCT(B5:B82,I5:I82)</f>
        <v>-0.0544495015101599</v>
      </c>
      <c r="C88" s="6" t="n">
        <f aca="false">SUMPRODUCT(C5:C82,I5:I82)</f>
        <v>0.0941719418135935</v>
      </c>
      <c r="D88" s="6" t="n">
        <f aca="false">SUMPRODUCT(D5:D82,I5:I82)</f>
        <v>-0.216222985787125</v>
      </c>
      <c r="E88" s="6" t="n">
        <f aca="false">SUMPRODUCT(E5:E82,I5:I82)</f>
        <v>0.00365091782142483</v>
      </c>
    </row>
    <row r="89" customFormat="false" ht="15" hidden="false" customHeight="false" outlineLevel="0" collapsed="false">
      <c r="A89" s="6" t="s">
        <v>216</v>
      </c>
      <c r="B89" s="6" t="n">
        <f aca="false">SUMPRODUCT(B5:B82,J5:J82)</f>
        <v>0.0934564221774165</v>
      </c>
      <c r="C89" s="6" t="n">
        <f aca="false">SUMPRODUCT(C5:C82,J5:J82)</f>
        <v>0.200467765024819</v>
      </c>
      <c r="D89" s="6" t="n">
        <f aca="false">SUMPRODUCT(D5:D82,J5:J82)</f>
        <v>-0.235315628800994</v>
      </c>
      <c r="E89" s="6" t="n">
        <f aca="false">SUMPRODUCT(E5:E82,J5:J82)</f>
        <v>0.0426084953435862</v>
      </c>
    </row>
    <row r="90" customFormat="false" ht="15" hidden="false" customHeight="false" outlineLevel="0" collapsed="false">
      <c r="A90" s="6" t="s">
        <v>217</v>
      </c>
      <c r="B90" s="6" t="n">
        <f aca="false">SUMPRODUCT(B5:B82,K5:K82)</f>
        <v>0.186398094156268</v>
      </c>
      <c r="C90" s="6" t="n">
        <f aca="false">SUMPRODUCT(C5:C82,K5:K82)</f>
        <v>0.104162988541212</v>
      </c>
      <c r="D90" s="6" t="n">
        <f aca="false">SUMPRODUCT(D5:D82,K5:K82)</f>
        <v>-0.0238668931943517</v>
      </c>
      <c r="E90" s="6" t="n">
        <f aca="false">SUMPRODUCT(E5:E82,K5:K82)</f>
        <v>0.10644746156381</v>
      </c>
    </row>
    <row r="91" customFormat="false" ht="15" hidden="false" customHeight="false" outlineLevel="0" collapsed="false">
      <c r="A91" s="6" t="s">
        <v>218</v>
      </c>
      <c r="B91" s="6" t="n">
        <f aca="false">SUMPRODUCT(B5:B82,L5:L82)</f>
        <v>-0.0448981695710703</v>
      </c>
      <c r="C91" s="6" t="n">
        <f aca="false">SUMPRODUCT(C5:C82,L5:L82)</f>
        <v>0.0476431419464038</v>
      </c>
      <c r="D91" s="6" t="n">
        <f aca="false">SUMPRODUCT(D5:D82,L5:L82)</f>
        <v>0.0469185610749357</v>
      </c>
      <c r="E91" s="6" t="n">
        <f aca="false">SUMPRODUCT(E5:E82,L5:L82)</f>
        <v>0.127400077732223</v>
      </c>
    </row>
    <row r="92" customFormat="false" ht="15" hidden="false" customHeight="false" outlineLevel="0" collapsed="false">
      <c r="A92" s="6" t="s">
        <v>219</v>
      </c>
      <c r="B92" s="6" t="n">
        <f aca="false">SUMPRODUCT(B5:B82,M5:M82)</f>
        <v>0.192647885843899</v>
      </c>
      <c r="C92" s="6" t="n">
        <f aca="false">SUMPRODUCT(C5:C82,M5:M82)</f>
        <v>0.0242612165958325</v>
      </c>
      <c r="D92" s="6" t="n">
        <f aca="false">SUMPRODUCT(D5:D82,M5:M82)</f>
        <v>-0.166125987515532</v>
      </c>
      <c r="E92" s="6" t="n">
        <f aca="false">SUMPRODUCT(E5:E82,M5:M82)</f>
        <v>-0.0209969452476193</v>
      </c>
    </row>
    <row r="93" customFormat="false" ht="15" hidden="false" customHeight="false" outlineLevel="0" collapsed="false">
      <c r="A93" s="6" t="s">
        <v>220</v>
      </c>
      <c r="B93" s="6" t="n">
        <f aca="false">SUMPRODUCT(B5:B82,N5:N82)</f>
        <v>0.296924570507861</v>
      </c>
      <c r="C93" s="6" t="n">
        <f aca="false">SUMPRODUCT(C5:C82,N5:N82)</f>
        <v>-0.0534814850618257</v>
      </c>
      <c r="D93" s="6" t="n">
        <f aca="false">SUMPRODUCT(D5:D82,N5:N82)</f>
        <v>-0.0161851345329393</v>
      </c>
      <c r="E93" s="6" t="n">
        <f aca="false">SUMPRODUCT(E5:E82,N5:N82)</f>
        <v>-0.000174118911526878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3" t="s">
        <v>222</v>
      </c>
    </row>
    <row r="4" customFormat="false" ht="15" hidden="false" customHeight="false" outlineLevel="0" collapsed="false">
      <c r="A4" s="17" t="s">
        <v>223</v>
      </c>
      <c r="B4" s="17" t="s">
        <v>224</v>
      </c>
      <c r="C4" s="17" t="s">
        <v>225</v>
      </c>
      <c r="D4" s="17" t="s">
        <v>226</v>
      </c>
      <c r="E4" s="17" t="s">
        <v>227</v>
      </c>
      <c r="F4" s="17" t="s">
        <v>228</v>
      </c>
      <c r="G4" s="17" t="s">
        <v>229</v>
      </c>
      <c r="H4" s="17" t="s">
        <v>230</v>
      </c>
      <c r="I4" s="17" t="s">
        <v>231</v>
      </c>
      <c r="J4" s="17" t="s">
        <v>232</v>
      </c>
    </row>
    <row r="5" customFormat="false" ht="15" hidden="false" customHeight="false" outlineLevel="0" collapsed="false">
      <c r="A5" s="3" t="s">
        <v>233</v>
      </c>
    </row>
    <row r="6" customFormat="false" ht="15" hidden="false" customHeight="false" outlineLevel="0" collapsed="false">
      <c r="A6" s="6" t="s">
        <v>121</v>
      </c>
      <c r="B6" s="19" t="n">
        <v>0</v>
      </c>
      <c r="C6" s="6" t="n">
        <f aca="false">Squeeze!B86</f>
        <v>0.00950990610836475</v>
      </c>
      <c r="D6" s="6" t="n">
        <f aca="false">Squeeze!B87</f>
        <v>-0.0518947455119483</v>
      </c>
      <c r="E6" s="6" t="n">
        <f aca="false">Squeeze!B88</f>
        <v>-0.0544495015101599</v>
      </c>
      <c r="F6" s="6" t="n">
        <f aca="false">Squeeze!B89</f>
        <v>0.0934564221774165</v>
      </c>
      <c r="G6" s="6" t="n">
        <f aca="false">Squeeze!B90</f>
        <v>0.186398094156268</v>
      </c>
      <c r="H6" s="6" t="n">
        <f aca="false">Squeeze!B91</f>
        <v>-0.0448981695710703</v>
      </c>
      <c r="I6" s="6" t="n">
        <f aca="false">Squeeze!B92</f>
        <v>0.192647885843899</v>
      </c>
      <c r="J6" s="6" t="n">
        <f aca="false">Squeeze!B93</f>
        <v>0.296924570507861</v>
      </c>
    </row>
    <row r="7" customFormat="false" ht="15" hidden="false" customHeight="false" outlineLevel="0" collapsed="false">
      <c r="A7" s="6" t="s">
        <v>122</v>
      </c>
      <c r="B7" s="19" t="n">
        <v>1</v>
      </c>
      <c r="C7" s="6" t="n">
        <f aca="false">Squeeze!C86</f>
        <v>-0.0101951819287956</v>
      </c>
      <c r="D7" s="6" t="n">
        <f aca="false">Squeeze!C87</f>
        <v>-0.0188409251818007</v>
      </c>
      <c r="E7" s="6" t="n">
        <f aca="false">Squeeze!C88</f>
        <v>0.0941719418135935</v>
      </c>
      <c r="F7" s="6" t="n">
        <f aca="false">Squeeze!C89</f>
        <v>0.200467765024819</v>
      </c>
      <c r="G7" s="6" t="n">
        <f aca="false">Squeeze!C90</f>
        <v>0.104162988541212</v>
      </c>
      <c r="H7" s="6" t="n">
        <f aca="false">Squeeze!C91</f>
        <v>0.0476431419464038</v>
      </c>
      <c r="I7" s="6" t="n">
        <f aca="false">Squeeze!C92</f>
        <v>0.0242612165958325</v>
      </c>
      <c r="J7" s="6" t="n">
        <f aca="false">Squeeze!C93</f>
        <v>-0.0534814850618257</v>
      </c>
    </row>
    <row r="8" customFormat="false" ht="15" hidden="false" customHeight="false" outlineLevel="0" collapsed="false">
      <c r="A8" s="6" t="s">
        <v>123</v>
      </c>
      <c r="B8" s="19" t="n">
        <v>2</v>
      </c>
      <c r="C8" s="6" t="n">
        <f aca="false">Squeeze!D86</f>
        <v>-0.116314645030399</v>
      </c>
      <c r="D8" s="6" t="n">
        <f aca="false">Squeeze!D87</f>
        <v>0.0259680253641972</v>
      </c>
      <c r="E8" s="6" t="n">
        <f aca="false">Squeeze!D88</f>
        <v>-0.216222985787125</v>
      </c>
      <c r="F8" s="6" t="n">
        <f aca="false">Squeeze!D89</f>
        <v>-0.235315628800994</v>
      </c>
      <c r="G8" s="6" t="n">
        <f aca="false">Squeeze!D90</f>
        <v>-0.0238668931943517</v>
      </c>
      <c r="H8" s="6" t="n">
        <f aca="false">Squeeze!D91</f>
        <v>0.0469185610749357</v>
      </c>
      <c r="I8" s="6" t="n">
        <f aca="false">Squeeze!D92</f>
        <v>-0.166125987515532</v>
      </c>
      <c r="J8" s="6" t="n">
        <f aca="false">Squeeze!D93</f>
        <v>-0.0161851345329393</v>
      </c>
    </row>
    <row r="9" customFormat="false" ht="15" hidden="false" customHeight="false" outlineLevel="0" collapsed="false">
      <c r="A9" s="6" t="s">
        <v>124</v>
      </c>
      <c r="B9" s="19" t="n">
        <v>3</v>
      </c>
      <c r="C9" s="6" t="n">
        <f aca="false">Squeeze!E86</f>
        <v>-0.0669831505648093</v>
      </c>
      <c r="D9" s="6" t="n">
        <f aca="false">Squeeze!E87</f>
        <v>0.0965221762546613</v>
      </c>
      <c r="E9" s="6" t="n">
        <f aca="false">Squeeze!E88</f>
        <v>0.00365091782142483</v>
      </c>
      <c r="F9" s="6" t="n">
        <f aca="false">Squeeze!E89</f>
        <v>0.0426084953435862</v>
      </c>
      <c r="G9" s="6" t="n">
        <f aca="false">Squeeze!E90</f>
        <v>0.10644746156381</v>
      </c>
      <c r="H9" s="6" t="n">
        <f aca="false">Squeeze!E91</f>
        <v>0.127400077732223</v>
      </c>
      <c r="I9" s="6" t="n">
        <f aca="false">Squeeze!E92</f>
        <v>-0.0209969452476193</v>
      </c>
      <c r="J9" s="6" t="n">
        <f aca="false">Squeeze!E93</f>
        <v>-0.000174118911526878</v>
      </c>
    </row>
    <row r="11" customFormat="false" ht="15" hidden="false" customHeight="false" outlineLevel="0" collapsed="false">
      <c r="A11" s="3" t="s">
        <v>234</v>
      </c>
    </row>
    <row r="12" customFormat="false" ht="15" hidden="false" customHeight="false" outlineLevel="0" collapsed="false">
      <c r="A12" s="6" t="s">
        <v>121</v>
      </c>
      <c r="B12" s="6" t="n">
        <f aca="false">B6</f>
        <v>0</v>
      </c>
      <c r="C12" s="6" t="n">
        <f aca="false">C6*COS(RADIANS(Ladder!$B$20*$B12))-D6*SIN(RADIANS(Ladder!$B$20*$B12))</f>
        <v>0.00950990610836475</v>
      </c>
      <c r="D12" s="6" t="n">
        <f aca="false">C6*SIN(RADIANS(Ladder!$B$20*$B12))+D6*COS(RADIANS(Ladder!$B$20*$B12))</f>
        <v>-0.0518947455119483</v>
      </c>
      <c r="E12" s="6" t="n">
        <f aca="false">E6*COS(RADIANS(Ladder!$B$21*$B12))-F6*SIN(RADIANS(Ladder!$B$21*$B12))</f>
        <v>-0.0544495015101599</v>
      </c>
      <c r="F12" s="6" t="n">
        <f aca="false">E6*SIN(RADIANS(Ladder!$B$21*$B12))+F6*COS(RADIANS(Ladder!$B$21*$B12))</f>
        <v>0.0934564221774165</v>
      </c>
      <c r="G12" s="6" t="n">
        <f aca="false">G6*COS(RADIANS(Ladder!$B$22*$B12))-H6*SIN(RADIANS(Ladder!$B$22*$B12))</f>
        <v>0.186398094156268</v>
      </c>
      <c r="H12" s="6" t="n">
        <f aca="false">G6*SIN(RADIANS(Ladder!$B$22*$B12))+H6*COS(RADIANS(Ladder!$B$22*$B12))</f>
        <v>-0.0448981695710703</v>
      </c>
      <c r="I12" s="6" t="n">
        <f aca="false">I6*COS(RADIANS(Ladder!$B$23*$B12))-J6*SIN(RADIANS(Ladder!$B$23*$B12))</f>
        <v>0.192647885843899</v>
      </c>
      <c r="J12" s="6" t="n">
        <f aca="false">I6*SIN(RADIANS(Ladder!$B$23*$B12))+J6*COS(RADIANS(Ladder!$B$23*$B12))</f>
        <v>0.296924570507861</v>
      </c>
    </row>
    <row r="13" customFormat="false" ht="15" hidden="false" customHeight="false" outlineLevel="0" collapsed="false">
      <c r="A13" s="6" t="s">
        <v>122</v>
      </c>
      <c r="B13" s="6" t="n">
        <f aca="false">B7</f>
        <v>1</v>
      </c>
      <c r="C13" s="6" t="n">
        <f aca="false">C7*COS(RADIANS(Ladder!$B$20*$B13))-D7*SIN(RADIANS(Ladder!$B$20*$B13))</f>
        <v>0.015518360279119</v>
      </c>
      <c r="D13" s="6" t="n">
        <f aca="false">C7*SIN(RADIANS(Ladder!$B$20*$B13))+D7*COS(RADIANS(Ladder!$B$20*$B13))</f>
        <v>0.0147683001904388</v>
      </c>
      <c r="E13" s="6" t="n">
        <f aca="false">E7*COS(RADIANS(Ladder!$B$21*$B13))-F7*SIN(RADIANS(Ladder!$B$21*$B13))</f>
        <v>-0.14654445744097</v>
      </c>
      <c r="F13" s="6" t="n">
        <f aca="false">E7*SIN(RADIANS(Ladder!$B$21*$B13))+F7*COS(RADIANS(Ladder!$B$21*$B13))</f>
        <v>0.166073482026242</v>
      </c>
      <c r="G13" s="6" t="n">
        <f aca="false">G7*COS(RADIANS(Ladder!$B$22*$B13))-H7*SIN(RADIANS(Ladder!$B$22*$B13))</f>
        <v>0.0705995201959953</v>
      </c>
      <c r="H13" s="6" t="n">
        <f aca="false">G7*SIN(RADIANS(Ladder!$B$22*$B13))+H7*COS(RADIANS(Ladder!$B$22*$B13))</f>
        <v>0.0901970337896819</v>
      </c>
      <c r="I13" s="6" t="n">
        <f aca="false">I7*COS(RADIANS(Ladder!$B$23*$B13))-J7*SIN(RADIANS(Ladder!$B$23*$B13))</f>
        <v>0.0342287642644794</v>
      </c>
      <c r="J13" s="6" t="n">
        <f aca="false">I7*SIN(RADIANS(Ladder!$B$23*$B13))+J7*COS(RADIANS(Ladder!$B$23*$B13))</f>
        <v>-0.0477207247645599</v>
      </c>
    </row>
    <row r="14" customFormat="false" ht="15" hidden="false" customHeight="false" outlineLevel="0" collapsed="false">
      <c r="A14" s="6" t="s">
        <v>123</v>
      </c>
      <c r="B14" s="6" t="n">
        <f aca="false">B8</f>
        <v>2</v>
      </c>
      <c r="C14" s="6" t="n">
        <f aca="false">C8*COS(RADIANS(Ladder!$B$20*$B14))-D8*SIN(RADIANS(Ladder!$B$20*$B14))</f>
        <v>-0.0788369021840506</v>
      </c>
      <c r="D14" s="6" t="n">
        <f aca="false">C8*SIN(RADIANS(Ladder!$B$20*$B14))+D8*COS(RADIANS(Ladder!$B$20*$B14))</f>
        <v>0.089376606804498</v>
      </c>
      <c r="E14" s="6" t="n">
        <f aca="false">E8*COS(RADIANS(Ladder!$B$21*$B14))-F8*SIN(RADIANS(Ladder!$B$21*$B14))</f>
        <v>0.319553985259996</v>
      </c>
      <c r="F14" s="6" t="n">
        <f aca="false">E8*SIN(RADIANS(Ladder!$B$21*$B14))+F8*COS(RADIANS(Ladder!$B$21*$B14))</f>
        <v>0.00332794909231635</v>
      </c>
      <c r="G14" s="6" t="n">
        <f aca="false">G8*COS(RADIANS(Ladder!$B$22*$B14))-H8*SIN(RADIANS(Ladder!$B$22*$B14))</f>
        <v>-0.0520889599812987</v>
      </c>
      <c r="H14" s="6" t="n">
        <f aca="false">G8*SIN(RADIANS(Ladder!$B$22*$B14))+H8*COS(RADIANS(Ladder!$B$22*$B14))</f>
        <v>0.00759738192798839</v>
      </c>
      <c r="I14" s="6" t="n">
        <f aca="false">I8*COS(RADIANS(Ladder!$B$23*$B14))-J8*SIN(RADIANS(Ladder!$B$23*$B14))</f>
        <v>-0.147286616847469</v>
      </c>
      <c r="J14" s="6" t="n">
        <f aca="false">I8*SIN(RADIANS(Ladder!$B$23*$B14))+J8*COS(RADIANS(Ladder!$B$23*$B14))</f>
        <v>-0.0785267776334079</v>
      </c>
    </row>
    <row r="15" customFormat="false" ht="15" hidden="false" customHeight="false" outlineLevel="0" collapsed="false">
      <c r="A15" s="6" t="s">
        <v>124</v>
      </c>
      <c r="B15" s="6" t="n">
        <f aca="false">B9</f>
        <v>3</v>
      </c>
      <c r="C15" s="6" t="n">
        <f aca="false">C9*COS(RADIANS(Ladder!$B$20*$B15))-D9*SIN(RADIANS(Ladder!$B$20*$B15))</f>
        <v>-0.0387163728699938</v>
      </c>
      <c r="D15" s="6" t="n">
        <f aca="false">C9*SIN(RADIANS(Ladder!$B$20*$B15))+D9*COS(RADIANS(Ladder!$B$20*$B15))</f>
        <v>-0.110924818865371</v>
      </c>
      <c r="E15" s="6" t="n">
        <f aca="false">E9*COS(RADIANS(Ladder!$B$21*$B15))-F9*SIN(RADIANS(Ladder!$B$21*$B15))</f>
        <v>0.0109714735562007</v>
      </c>
      <c r="F15" s="6" t="n">
        <f aca="false">E9*SIN(RADIANS(Ladder!$B$21*$B15))+F9*COS(RADIANS(Ladder!$B$21*$B15))</f>
        <v>-0.0413332776874614</v>
      </c>
      <c r="G15" s="6" t="n">
        <f aca="false">G9*COS(RADIANS(Ladder!$B$22*$B15))-H9*SIN(RADIANS(Ladder!$B$22*$B15))</f>
        <v>-0.111581230444331</v>
      </c>
      <c r="H15" s="6" t="n">
        <f aca="false">G9*SIN(RADIANS(Ladder!$B$22*$B15))+H9*COS(RADIANS(Ladder!$B$22*$B15))</f>
        <v>0.122928722811572</v>
      </c>
      <c r="I15" s="6" t="n">
        <f aca="false">I9*COS(RADIANS(Ladder!$B$23*$B15))-J9*SIN(RADIANS(Ladder!$B$23*$B15))</f>
        <v>-0.0173615866403257</v>
      </c>
      <c r="J15" s="6" t="n">
        <f aca="false">I9*SIN(RADIANS(Ladder!$B$23*$B15))+J9*COS(RADIANS(Ladder!$B$23*$B15))</f>
        <v>-0.0118100523477815</v>
      </c>
    </row>
    <row r="17" customFormat="false" ht="15" hidden="false" customHeight="false" outlineLevel="0" collapsed="false">
      <c r="A17" s="1" t="s">
        <v>235</v>
      </c>
    </row>
    <row r="18" customFormat="false" ht="15" hidden="false" customHeight="false" outlineLevel="0" collapsed="false">
      <c r="A18" s="17" t="s">
        <v>236</v>
      </c>
      <c r="B18" s="17" t="s">
        <v>237</v>
      </c>
      <c r="C18" s="17" t="s">
        <v>238</v>
      </c>
    </row>
    <row r="19" customFormat="false" ht="15" hidden="false" customHeight="false" outlineLevel="0" collapsed="false">
      <c r="A19" s="6" t="s">
        <v>239</v>
      </c>
      <c r="B19" s="6" t="n">
        <f aca="false">SQRT(C8^2+D8^2)</f>
        <v>0.119178164903909</v>
      </c>
      <c r="C19" s="6" t="n">
        <f aca="false">SQRT(C14^2+D14^2)</f>
        <v>0.119178164903909</v>
      </c>
    </row>
    <row r="20" customFormat="false" ht="15" hidden="false" customHeight="false" outlineLevel="0" collapsed="false">
      <c r="A20" s="6" t="s">
        <v>240</v>
      </c>
      <c r="B20" s="6" t="n">
        <f aca="false">SQRT(E8^2+F8^2)</f>
        <v>0.319571314014113</v>
      </c>
      <c r="C20" s="6" t="n">
        <f aca="false">SQRT(E14^2+F14^2)</f>
        <v>0.319571314014113</v>
      </c>
    </row>
    <row r="21" customFormat="false" ht="15" hidden="false" customHeight="false" outlineLevel="0" collapsed="false">
      <c r="A21" s="6" t="s">
        <v>241</v>
      </c>
      <c r="B21" s="6" t="n">
        <f aca="false">SQRT(G8^2+H8^2)</f>
        <v>0.0526400984430411</v>
      </c>
      <c r="C21" s="6" t="n">
        <f aca="false">SQRT(G14^2+H14^2)</f>
        <v>0.0526400984430411</v>
      </c>
    </row>
    <row r="22" customFormat="false" ht="15" hidden="false" customHeight="false" outlineLevel="0" collapsed="false">
      <c r="A22" s="6" t="s">
        <v>242</v>
      </c>
      <c r="B22" s="6" t="n">
        <f aca="false">SQRT(I8^2+J8^2)</f>
        <v>0.166912558867989</v>
      </c>
      <c r="C22" s="6" t="n">
        <f aca="false">SQRT(I14^2+J14^2)</f>
        <v>0.166912558867989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1" t="s">
        <v>243</v>
      </c>
    </row>
    <row r="2" customFormat="false" ht="15" hidden="false" customHeight="false" outlineLevel="0" collapsed="false">
      <c r="A2" s="3" t="s">
        <v>244</v>
      </c>
    </row>
    <row r="4" customFormat="false" ht="15" hidden="false" customHeight="false" outlineLevel="0" collapsed="false">
      <c r="A4" s="17" t="s">
        <v>224</v>
      </c>
      <c r="B4" s="17" t="s">
        <v>225</v>
      </c>
      <c r="C4" s="17" t="s">
        <v>226</v>
      </c>
      <c r="D4" s="17" t="s">
        <v>227</v>
      </c>
      <c r="E4" s="17" t="s">
        <v>228</v>
      </c>
      <c r="F4" s="17" t="s">
        <v>229</v>
      </c>
      <c r="G4" s="17" t="s">
        <v>230</v>
      </c>
      <c r="H4" s="17" t="s">
        <v>231</v>
      </c>
      <c r="I4" s="17" t="s">
        <v>232</v>
      </c>
    </row>
    <row r="5" customFormat="false" ht="15" hidden="false" customHeight="false" outlineLevel="0" collapsed="false">
      <c r="A5" s="19" t="n">
        <v>2</v>
      </c>
      <c r="B5" s="6" t="n">
        <f aca="false">Twist!C8*COS(RADIANS(Ladder!$B$20*$A5))-Twist!D8*SIN(RADIANS(Ladder!$B$20*$A5))</f>
        <v>-0.0788369021840506</v>
      </c>
      <c r="C5" s="6" t="n">
        <f aca="false">Twist!C8*SIN(RADIANS(Ladder!$B$20*$A5))+Twist!D8*COS(RADIANS(Ladder!$B$20*$A5))</f>
        <v>0.089376606804498</v>
      </c>
      <c r="D5" s="6" t="n">
        <f aca="false">Twist!E8*COS(RADIANS(Ladder!$B$21*$A5))-Twist!F8*SIN(RADIANS(Ladder!$B$21*$A5))</f>
        <v>0.319553985259996</v>
      </c>
      <c r="E5" s="6" t="n">
        <f aca="false">Twist!E8*SIN(RADIANS(Ladder!$B$21*$A5))+Twist!F8*COS(RADIANS(Ladder!$B$21*$A5))</f>
        <v>0.00332794909231635</v>
      </c>
      <c r="F5" s="6" t="n">
        <f aca="false">Twist!G8*COS(RADIANS(Ladder!$B$22*$A5))-Twist!H8*SIN(RADIANS(Ladder!$B$22*$A5))</f>
        <v>-0.0520889599812987</v>
      </c>
      <c r="G5" s="6" t="n">
        <f aca="false">Twist!G8*SIN(RADIANS(Ladder!$B$22*$A5))+Twist!H8*COS(RADIANS(Ladder!$B$22*$A5))</f>
        <v>0.00759738192798839</v>
      </c>
      <c r="H5" s="6" t="n">
        <f aca="false">Twist!I8*COS(RADIANS(Ladder!$B$23*$A5))-Twist!J8*SIN(RADIANS(Ladder!$B$23*$A5))</f>
        <v>-0.147286616847469</v>
      </c>
      <c r="I5" s="6" t="n">
        <f aca="false">Twist!I8*SIN(RADIANS(Ladder!$B$23*$A5))+Twist!J8*COS(RADIANS(Ladder!$B$23*$A5))</f>
        <v>-0.0785267776334079</v>
      </c>
    </row>
    <row r="6" customFormat="false" ht="15" hidden="false" customHeight="false" outlineLevel="0" collapsed="false">
      <c r="A6" s="19" t="n">
        <v>5</v>
      </c>
      <c r="B6" s="6" t="n">
        <f aca="false">Twist!C8*COS(RADIANS(Ladder!$B$20*$A6))-Twist!D8*SIN(RADIANS(Ladder!$B$20*$A6))</f>
        <v>-0.0259680253641972</v>
      </c>
      <c r="C6" s="6" t="n">
        <f aca="false">Twist!C8*SIN(RADIANS(Ladder!$B$20*$A6))+Twist!D8*COS(RADIANS(Ladder!$B$20*$A6))</f>
        <v>-0.116314645030399</v>
      </c>
      <c r="D6" s="6" t="n">
        <f aca="false">Twist!E8*COS(RADIANS(Ladder!$B$21*$A6))-Twist!F8*SIN(RADIANS(Ladder!$B$21*$A6))</f>
        <v>-0.299606412554279</v>
      </c>
      <c r="E6" s="6" t="n">
        <f aca="false">Twist!E8*SIN(RADIANS(Ladder!$B$21*$A6))+Twist!F8*COS(RADIANS(Ladder!$B$21*$A6))</f>
        <v>-0.111183732160158</v>
      </c>
      <c r="F6" s="6" t="n">
        <f aca="false">Twist!G8*COS(RADIANS(Ladder!$B$22*$A6))-Twist!H8*SIN(RADIANS(Ladder!$B$22*$A6))</f>
        <v>-0.0146760401474702</v>
      </c>
      <c r="G6" s="6" t="n">
        <f aca="false">Twist!G8*SIN(RADIANS(Ladder!$B$22*$A6))+Twist!H8*COS(RADIANS(Ladder!$B$22*$A6))</f>
        <v>-0.0505528813192968</v>
      </c>
      <c r="H6" s="6" t="n">
        <f aca="false">Twist!I8*COS(RADIANS(Ladder!$B$23*$A6))-Twist!J8*SIN(RADIANS(Ladder!$B$23*$A6))</f>
        <v>-0.0788372060594478</v>
      </c>
      <c r="I6" s="6" t="n">
        <f aca="false">Twist!I8*SIN(RADIANS(Ladder!$B$23*$A6))+Twist!J8*COS(RADIANS(Ladder!$B$23*$A6))</f>
        <v>-0.147120689396835</v>
      </c>
    </row>
    <row r="7" customFormat="false" ht="15" hidden="false" customHeight="false" outlineLevel="0" collapsed="false">
      <c r="A7" s="19" t="n">
        <v>7</v>
      </c>
      <c r="B7" s="6" t="n">
        <f aca="false">Twist!C8*COS(RADIANS(Ladder!$B$20*$A7))-Twist!D8*SIN(RADIANS(Ladder!$B$20*$A7))</f>
        <v>-0.0893766068044981</v>
      </c>
      <c r="C7" s="6" t="n">
        <f aca="false">Twist!C8*SIN(RADIANS(Ladder!$B$20*$A7))+Twist!D8*COS(RADIANS(Ladder!$B$20*$A7))</f>
        <v>-0.0788369021840504</v>
      </c>
      <c r="D7" s="6" t="n">
        <f aca="false">Twist!E8*COS(RADIANS(Ladder!$B$21*$A7))-Twist!F8*SIN(RADIANS(Ladder!$B$21*$A7))</f>
        <v>0.286083164455049</v>
      </c>
      <c r="E7" s="6" t="n">
        <f aca="false">Twist!E8*SIN(RADIANS(Ladder!$B$21*$A7))+Twist!F8*COS(RADIANS(Ladder!$B$21*$A7))</f>
        <v>-0.1424157566988</v>
      </c>
      <c r="F7" s="6" t="n">
        <f aca="false">Twist!G8*COS(RADIANS(Ladder!$B$22*$A7))-Twist!H8*SIN(RADIANS(Ladder!$B$22*$A7))</f>
        <v>0.0328060623202251</v>
      </c>
      <c r="G7" s="6" t="n">
        <f aca="false">Twist!G8*SIN(RADIANS(Ladder!$B$22*$A7))+Twist!H8*COS(RADIANS(Ladder!$B$22*$A7))</f>
        <v>-0.041167247164883</v>
      </c>
      <c r="H7" s="6" t="n">
        <f aca="false">Twist!I8*COS(RADIANS(Ladder!$B$23*$A7))-Twist!J8*SIN(RADIANS(Ladder!$B$23*$A7))</f>
        <v>-0.0165354306883995</v>
      </c>
      <c r="I7" s="6" t="n">
        <f aca="false">Twist!I8*SIN(RADIANS(Ladder!$B$23*$A7))+Twist!J8*COS(RADIANS(Ladder!$B$23*$A7))</f>
        <v>-0.16609148635559</v>
      </c>
    </row>
    <row r="8" customFormat="false" ht="15" hidden="false" customHeight="false" outlineLevel="0" collapsed="false">
      <c r="A8" s="19" t="n">
        <v>10</v>
      </c>
      <c r="B8" s="6" t="n">
        <f aca="false">Twist!C8*COS(RADIANS(Ladder!$B$20*$A8))-Twist!D8*SIN(RADIANS(Ladder!$B$20*$A8))</f>
        <v>0.116314645030399</v>
      </c>
      <c r="C8" s="6" t="n">
        <f aca="false">Twist!C8*SIN(RADIANS(Ladder!$B$20*$A8))+Twist!D8*COS(RADIANS(Ladder!$B$20*$A8))</f>
        <v>-0.0259680253641973</v>
      </c>
      <c r="D8" s="6" t="n">
        <f aca="false">Twist!E8*COS(RADIANS(Ladder!$B$21*$A8))-Twist!F8*SIN(RADIANS(Ladder!$B$21*$A8))</f>
        <v>-0.317387863631442</v>
      </c>
      <c r="E8" s="6" t="n">
        <f aca="false">Twist!E8*SIN(RADIANS(Ladder!$B$21*$A8))+Twist!F8*COS(RADIANS(Ladder!$B$21*$A8))</f>
        <v>0.0372930122164449</v>
      </c>
      <c r="F8" s="6" t="n">
        <f aca="false">Twist!G8*COS(RADIANS(Ladder!$B$22*$A8))-Twist!H8*SIN(RADIANS(Ladder!$B$22*$A8))</f>
        <v>0.0452810056266511</v>
      </c>
      <c r="G8" s="6" t="n">
        <f aca="false">Twist!G8*SIN(RADIANS(Ladder!$B$22*$A8))+Twist!H8*COS(RADIANS(Ladder!$B$22*$A8))</f>
        <v>0.0268441891949124</v>
      </c>
      <c r="H8" s="6" t="n">
        <f aca="false">Twist!I8*COS(RADIANS(Ladder!$B$23*$A8))-Twist!J8*SIN(RADIANS(Ladder!$B$23*$A8))</f>
        <v>0.0785267776334079</v>
      </c>
      <c r="I8" s="6" t="n">
        <f aca="false">Twist!I8*SIN(RADIANS(Ladder!$B$23*$A8))+Twist!J8*COS(RADIANS(Ladder!$B$23*$A8))</f>
        <v>-0.147286616847469</v>
      </c>
    </row>
    <row r="9" customFormat="false" ht="15" hidden="false" customHeight="false" outlineLevel="0" collapsed="false">
      <c r="A9" s="19" t="n">
        <v>3</v>
      </c>
      <c r="B9" s="6" t="n">
        <f aca="false">Twist!C8*COS(RADIANS(Ladder!$B$20*$A9))-Twist!D8*SIN(RADIANS(Ladder!$B$20*$A9))</f>
        <v>0.0473594591445075</v>
      </c>
      <c r="C9" s="6" t="n">
        <f aca="false">Twist!C8*SIN(RADIANS(Ladder!$B$20*$A9))+Twist!D8*COS(RADIANS(Ladder!$B$20*$A9))</f>
        <v>-0.109364146864515</v>
      </c>
      <c r="D9" s="6" t="n">
        <f aca="false">Twist!E8*COS(RADIANS(Ladder!$B$21*$A9))-Twist!F8*SIN(RADIANS(Ladder!$B$21*$A9))</f>
        <v>0.123919056034451</v>
      </c>
      <c r="E9" s="6" t="n">
        <f aca="false">Twist!E8*SIN(RADIANS(Ladder!$B$21*$A9))+Twist!F8*COS(RADIANS(Ladder!$B$21*$A9))</f>
        <v>0.294567296712037</v>
      </c>
      <c r="F9" s="6" t="n">
        <f aca="false">Twist!G8*COS(RADIANS(Ladder!$B$22*$A9))-Twist!H8*SIN(RADIANS(Ladder!$B$22*$A9))</f>
        <v>-0.0497507337469241</v>
      </c>
      <c r="G9" s="6" t="n">
        <f aca="false">Twist!G8*SIN(RADIANS(Ladder!$B$22*$A9))+Twist!H8*COS(RADIANS(Ladder!$B$22*$A9))</f>
        <v>-0.0172001295267137</v>
      </c>
      <c r="H9" s="6" t="n">
        <f aca="false">Twist!I8*COS(RADIANS(Ladder!$B$23*$A9))-Twist!J8*SIN(RADIANS(Ladder!$B$23*$A9))</f>
        <v>-0.129136731468998</v>
      </c>
      <c r="I9" s="6" t="n">
        <f aca="false">Twist!I8*SIN(RADIANS(Ladder!$B$23*$A9))+Twist!J8*COS(RADIANS(Ladder!$B$23*$A9))</f>
        <v>-0.105752101129783</v>
      </c>
    </row>
    <row r="11" customFormat="false" ht="15" hidden="false" customHeight="false" outlineLevel="0" collapsed="false">
      <c r="A11" s="13" t="s">
        <v>245</v>
      </c>
      <c r="B11" s="6" t="n">
        <f aca="false">SUMPRODUCT(B5:I5,B6:I6)</f>
        <v>-0.0809140374159052</v>
      </c>
      <c r="C11" s="20" t="s">
        <v>246</v>
      </c>
    </row>
    <row r="12" customFormat="false" ht="15" hidden="false" customHeight="false" outlineLevel="0" collapsed="false">
      <c r="A12" s="13" t="s">
        <v>247</v>
      </c>
      <c r="B12" s="6" t="n">
        <f aca="false">SUMPRODUCT(B7:I7,B8:I8)</f>
        <v>-0.0809140374159052</v>
      </c>
      <c r="C12" s="20" t="s">
        <v>248</v>
      </c>
    </row>
    <row r="13" customFormat="false" ht="15" hidden="false" customHeight="false" outlineLevel="0" collapsed="false">
      <c r="A13" s="13" t="s">
        <v>249</v>
      </c>
      <c r="B13" s="6" t="n">
        <f aca="false">SUMPRODUCT(B5:I5,B9:I9)</f>
        <v>0.0568561358167517</v>
      </c>
      <c r="C13" s="20" t="s">
        <v>250</v>
      </c>
    </row>
    <row r="15" customFormat="false" ht="15" hidden="false" customHeight="false" outlineLevel="0" collapsed="false">
      <c r="A15" s="3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2026-08-14T21:26:10Z</dcterms:created>
  <dc:creator>openpyxl</dc:creator>
  <dc:description/>
  <dc:language>en-US</dc:language>
  <cp:lastModifiedBy/>
  <dcterms:modified xsi:type="dcterms:W3CDTF">2026-08-14T21:26:10Z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